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shields/Documents/JWS/meanspeak/"/>
    </mc:Choice>
  </mc:AlternateContent>
  <xr:revisionPtr revIDLastSave="0" documentId="13_ncr:1_{D104CADB-60C4-E344-A6AD-23F909C3AAB1}" xr6:coauthVersionLast="34" xr6:coauthVersionMax="34" xr10:uidLastSave="{00000000-0000-0000-0000-000000000000}"/>
  <bookViews>
    <workbookView xWindow="2420" yWindow="460" windowWidth="20860" windowHeight="16520" xr2:uid="{00000000-000D-0000-FFFF-FFFF00000000}"/>
  </bookViews>
  <sheets>
    <sheet name="State Populations" sheetId="1" r:id="rId1"/>
    <sheet name="states app" sheetId="2" r:id="rId2"/>
    <sheet name="Traffic" sheetId="3" r:id="rId3"/>
    <sheet name="Traffic app" sheetId="4" r:id="rId4"/>
  </sheets>
  <calcPr calcId="179017"/>
</workbook>
</file>

<file path=xl/calcChain.xml><?xml version="1.0" encoding="utf-8"?>
<calcChain xmlns="http://schemas.openxmlformats.org/spreadsheetml/2006/main">
  <c r="Q3" i="3" l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" i="3"/>
  <c r="B3" i="3"/>
  <c r="B4" i="3"/>
  <c r="E4" i="3" s="1"/>
  <c r="L4" i="3" s="1"/>
  <c r="B5" i="3"/>
  <c r="E5" i="3" s="1"/>
  <c r="L5" i="3" s="1"/>
  <c r="B6" i="3"/>
  <c r="E6" i="3" s="1"/>
  <c r="L6" i="3" s="1"/>
  <c r="B7" i="3"/>
  <c r="E7" i="3" s="1"/>
  <c r="F7" i="3" s="1"/>
  <c r="B8" i="3"/>
  <c r="E8" i="3" s="1"/>
  <c r="F8" i="3" s="1"/>
  <c r="B9" i="3"/>
  <c r="E9" i="3" s="1"/>
  <c r="F9" i="3" s="1"/>
  <c r="B10" i="3"/>
  <c r="E10" i="3" s="1"/>
  <c r="F10" i="3" s="1"/>
  <c r="B11" i="3"/>
  <c r="E11" i="3" s="1"/>
  <c r="F11" i="3" s="1"/>
  <c r="B12" i="3"/>
  <c r="B13" i="3"/>
  <c r="E13" i="3" s="1"/>
  <c r="L13" i="3" s="1"/>
  <c r="B14" i="3"/>
  <c r="B15" i="3"/>
  <c r="B16" i="3"/>
  <c r="B17" i="3"/>
  <c r="E17" i="3" s="1"/>
  <c r="F17" i="3" s="1"/>
  <c r="B18" i="3"/>
  <c r="E18" i="3" s="1"/>
  <c r="F18" i="3" s="1"/>
  <c r="B19" i="3"/>
  <c r="E19" i="3" s="1"/>
  <c r="F19" i="3" s="1"/>
  <c r="B20" i="3"/>
  <c r="E20" i="3" s="1"/>
  <c r="F20" i="3" s="1"/>
  <c r="B2" i="3"/>
  <c r="E2" i="3" s="1"/>
  <c r="F2" i="3" s="1"/>
  <c r="R16" i="3" l="1"/>
  <c r="R10" i="3"/>
  <c r="R15" i="3"/>
  <c r="R9" i="3"/>
  <c r="R14" i="3"/>
  <c r="R6" i="3"/>
  <c r="R13" i="3"/>
  <c r="R5" i="3"/>
  <c r="R20" i="3"/>
  <c r="R12" i="3"/>
  <c r="R4" i="3"/>
  <c r="R19" i="3"/>
  <c r="R11" i="3"/>
  <c r="R3" i="3"/>
  <c r="R2" i="3"/>
  <c r="R7" i="3"/>
  <c r="R18" i="3"/>
  <c r="R17" i="3"/>
  <c r="R8" i="3"/>
  <c r="L10" i="3"/>
  <c r="L17" i="3"/>
  <c r="G17" i="3"/>
  <c r="J17" i="3" s="1"/>
  <c r="G9" i="3"/>
  <c r="J9" i="3" s="1"/>
  <c r="G20" i="3"/>
  <c r="J20" i="3" s="1"/>
  <c r="G11" i="3"/>
  <c r="G18" i="3"/>
  <c r="G10" i="3"/>
  <c r="J10" i="3" s="1"/>
  <c r="G19" i="3"/>
  <c r="G8" i="3"/>
  <c r="G7" i="3"/>
  <c r="G2" i="3"/>
  <c r="J2" i="3" s="1"/>
  <c r="F6" i="3"/>
  <c r="G6" i="3" s="1"/>
  <c r="F13" i="3"/>
  <c r="G13" i="3" s="1"/>
  <c r="F5" i="3"/>
  <c r="G5" i="3" s="1"/>
  <c r="F4" i="3"/>
  <c r="G4" i="3" s="1"/>
  <c r="N19" i="3"/>
  <c r="E16" i="3"/>
  <c r="L8" i="3"/>
  <c r="E15" i="3"/>
  <c r="F15" i="3" s="1"/>
  <c r="G15" i="3" s="1"/>
  <c r="E14" i="3"/>
  <c r="F14" i="3" s="1"/>
  <c r="G14" i="3" s="1"/>
  <c r="L7" i="3"/>
  <c r="L19" i="3"/>
  <c r="L11" i="3"/>
  <c r="L18" i="3"/>
  <c r="E12" i="3"/>
  <c r="F12" i="3" s="1"/>
  <c r="G12" i="3" s="1"/>
  <c r="L9" i="3"/>
  <c r="E3" i="3"/>
  <c r="L2" i="3"/>
  <c r="L20" i="3"/>
  <c r="B21" i="3"/>
  <c r="D13" i="3" s="1"/>
  <c r="R3" i="4"/>
  <c r="A5" i="4"/>
  <c r="R18" i="4"/>
  <c r="R20" i="4"/>
  <c r="R21" i="4" s="1"/>
  <c r="A21" i="4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" i="3"/>
  <c r="N7" i="3"/>
  <c r="N8" i="3"/>
  <c r="N9" i="3"/>
  <c r="N10" i="3"/>
  <c r="N17" i="3"/>
  <c r="N18" i="3"/>
  <c r="N2" i="3"/>
  <c r="A28" i="4"/>
  <c r="A25" i="4"/>
  <c r="R3" i="2"/>
  <c r="A18" i="2"/>
  <c r="A22" i="2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E1" i="1"/>
  <c r="E5" i="1" s="1"/>
  <c r="A38" i="4" s="1"/>
  <c r="R4" i="4" s="1"/>
  <c r="F16" i="3" l="1"/>
  <c r="G16" i="3" s="1"/>
  <c r="J16" i="3" s="1"/>
  <c r="L16" i="3"/>
  <c r="N6" i="3"/>
  <c r="J6" i="3"/>
  <c r="J8" i="3"/>
  <c r="J18" i="3"/>
  <c r="J11" i="3"/>
  <c r="J19" i="3"/>
  <c r="J7" i="3"/>
  <c r="J13" i="3"/>
  <c r="J15" i="3"/>
  <c r="J12" i="3"/>
  <c r="J5" i="3"/>
  <c r="J14" i="3"/>
  <c r="J4" i="3"/>
  <c r="N4" i="3"/>
  <c r="P2" i="3"/>
  <c r="F3" i="3"/>
  <c r="E21" i="3"/>
  <c r="L21" i="3" s="1"/>
  <c r="N20" i="3"/>
  <c r="N11" i="3"/>
  <c r="P10" i="3"/>
  <c r="N13" i="3"/>
  <c r="P8" i="3"/>
  <c r="P18" i="3"/>
  <c r="N5" i="3"/>
  <c r="P9" i="3"/>
  <c r="P17" i="3"/>
  <c r="L14" i="3"/>
  <c r="L3" i="3"/>
  <c r="L15" i="3"/>
  <c r="L12" i="3"/>
  <c r="D2" i="3"/>
  <c r="D7" i="3"/>
  <c r="D15" i="3"/>
  <c r="D8" i="3"/>
  <c r="D3" i="3"/>
  <c r="D4" i="3"/>
  <c r="D12" i="3"/>
  <c r="D20" i="3"/>
  <c r="D5" i="3"/>
  <c r="D14" i="3"/>
  <c r="D11" i="3"/>
  <c r="D19" i="3"/>
  <c r="D9" i="3"/>
  <c r="D10" i="3"/>
  <c r="D17" i="3"/>
  <c r="D18" i="3"/>
  <c r="D16" i="3"/>
  <c r="D6" i="3"/>
  <c r="P7" i="3"/>
  <c r="P19" i="3"/>
  <c r="R5" i="4"/>
  <c r="R6" i="4" s="1"/>
  <c r="R10" i="4" s="1"/>
  <c r="A9" i="4"/>
  <c r="R19" i="4"/>
  <c r="A6" i="4" s="1"/>
  <c r="E4" i="1"/>
  <c r="P11" i="3" l="1"/>
  <c r="P20" i="3"/>
  <c r="P4" i="3"/>
  <c r="P13" i="3"/>
  <c r="P6" i="3"/>
  <c r="P5" i="3"/>
  <c r="M19" i="3"/>
  <c r="M16" i="3"/>
  <c r="M20" i="3"/>
  <c r="M4" i="3"/>
  <c r="M6" i="3"/>
  <c r="M12" i="3"/>
  <c r="M17" i="3"/>
  <c r="M7" i="3"/>
  <c r="M15" i="3"/>
  <c r="M18" i="3"/>
  <c r="M2" i="3"/>
  <c r="M3" i="3"/>
  <c r="M5" i="3"/>
  <c r="M11" i="3"/>
  <c r="M14" i="3"/>
  <c r="M8" i="3"/>
  <c r="M10" i="3"/>
  <c r="M9" i="3"/>
  <c r="M13" i="3"/>
  <c r="F21" i="3"/>
  <c r="N21" i="3" s="1"/>
  <c r="P21" i="3" s="1"/>
  <c r="G3" i="3"/>
  <c r="N14" i="3"/>
  <c r="N16" i="3"/>
  <c r="N12" i="3"/>
  <c r="N15" i="3"/>
  <c r="N3" i="3"/>
  <c r="A18" i="4"/>
  <c r="A22" i="4"/>
  <c r="A24" i="4"/>
  <c r="A6" i="2"/>
  <c r="A15" i="2"/>
  <c r="A35" i="2"/>
  <c r="O13" i="3" l="1"/>
  <c r="O4" i="3"/>
  <c r="O3" i="3"/>
  <c r="O18" i="3"/>
  <c r="O17" i="3"/>
  <c r="O10" i="3"/>
  <c r="O7" i="3"/>
  <c r="O9" i="3"/>
  <c r="O8" i="3"/>
  <c r="O19" i="3"/>
  <c r="P15" i="3"/>
  <c r="O15" i="3"/>
  <c r="O20" i="3"/>
  <c r="P16" i="3"/>
  <c r="O16" i="3"/>
  <c r="P12" i="3"/>
  <c r="O12" i="3"/>
  <c r="O5" i="3"/>
  <c r="P14" i="3"/>
  <c r="O14" i="3"/>
  <c r="O6" i="3"/>
  <c r="O11" i="3"/>
  <c r="P3" i="3"/>
  <c r="O2" i="3"/>
  <c r="G21" i="3"/>
  <c r="Q21" i="3" s="1"/>
  <c r="H3" i="3"/>
  <c r="J3" i="3"/>
  <c r="H2" i="3"/>
  <c r="H9" i="3"/>
  <c r="H11" i="3"/>
  <c r="H17" i="3"/>
  <c r="H10" i="3"/>
  <c r="H8" i="3"/>
  <c r="H14" i="3"/>
  <c r="H19" i="3"/>
  <c r="H20" i="3"/>
  <c r="H13" i="3"/>
  <c r="H15" i="3"/>
  <c r="H16" i="3"/>
  <c r="H7" i="3"/>
  <c r="H18" i="3"/>
  <c r="H4" i="3"/>
  <c r="H6" i="3"/>
  <c r="H5" i="3"/>
  <c r="H12" i="3"/>
  <c r="R4" i="2"/>
  <c r="A16" i="2"/>
  <c r="I3" i="3" l="1"/>
  <c r="I2" i="3"/>
  <c r="I18" i="3"/>
  <c r="I15" i="3"/>
  <c r="I6" i="3"/>
  <c r="I16" i="3"/>
  <c r="I9" i="3"/>
  <c r="I14" i="3"/>
  <c r="I5" i="3"/>
  <c r="I20" i="3"/>
  <c r="I19" i="3"/>
  <c r="I13" i="3"/>
  <c r="I12" i="3"/>
  <c r="I4" i="3"/>
  <c r="I8" i="3"/>
  <c r="I17" i="3"/>
  <c r="I10" i="3"/>
  <c r="I11" i="3"/>
  <c r="I7" i="3"/>
  <c r="K20" i="3"/>
  <c r="K19" i="3"/>
  <c r="K2" i="3"/>
  <c r="K10" i="3"/>
  <c r="K3" i="3"/>
  <c r="K4" i="3"/>
  <c r="K5" i="3"/>
  <c r="K9" i="3"/>
  <c r="K17" i="3"/>
  <c r="K8" i="3"/>
  <c r="K11" i="3"/>
  <c r="K7" i="3"/>
  <c r="K13" i="3"/>
  <c r="K18" i="3"/>
  <c r="K21" i="3"/>
  <c r="K6" i="3"/>
  <c r="K16" i="3"/>
  <c r="K12" i="3"/>
  <c r="K14" i="3"/>
  <c r="K15" i="3"/>
  <c r="R5" i="2"/>
  <c r="R22" i="4" l="1"/>
  <c r="A19" i="4" s="1"/>
  <c r="R6" i="2"/>
  <c r="R7" i="2" s="1"/>
  <c r="A21" i="2" s="1"/>
  <c r="A19" i="2" l="1"/>
</calcChain>
</file>

<file path=xl/sharedStrings.xml><?xml version="1.0" encoding="utf-8"?>
<sst xmlns="http://schemas.openxmlformats.org/spreadsheetml/2006/main" count="119" uniqueCount="110">
  <si>
    <t>State</t>
  </si>
  <si>
    <t>2018 Population</t>
  </si>
  <si>
    <t>California</t>
  </si>
  <si>
    <t>Texas</t>
  </si>
  <si>
    <t>Florida</t>
  </si>
  <si>
    <t>New York</t>
  </si>
  <si>
    <t>Pennsylvania</t>
  </si>
  <si>
    <t>Illinois</t>
  </si>
  <si>
    <t>Ohio</t>
  </si>
  <si>
    <t>Georgia</t>
  </si>
  <si>
    <t>North Carolina</t>
  </si>
  <si>
    <t>Michigan</t>
  </si>
  <si>
    <t>New Jersey</t>
  </si>
  <si>
    <t>Virginia</t>
  </si>
  <si>
    <t>Washington</t>
  </si>
  <si>
    <t>Arizona</t>
  </si>
  <si>
    <t>Massachusetts</t>
  </si>
  <si>
    <t>Tennessee</t>
  </si>
  <si>
    <t>Indiana</t>
  </si>
  <si>
    <t>Missouri</t>
  </si>
  <si>
    <t>Maryland</t>
  </si>
  <si>
    <t>Wisconsin</t>
  </si>
  <si>
    <t>Colorado</t>
  </si>
  <si>
    <t>Minnesota</t>
  </si>
  <si>
    <t>South Carolina</t>
  </si>
  <si>
    <t>Alabama</t>
  </si>
  <si>
    <t>Louisiana</t>
  </si>
  <si>
    <t>Kentucky</t>
  </si>
  <si>
    <t>Oregon</t>
  </si>
  <si>
    <t>Oklahoma</t>
  </si>
  <si>
    <t>Connecticut</t>
  </si>
  <si>
    <t>Iowa</t>
  </si>
  <si>
    <t>Utah</t>
  </si>
  <si>
    <t>Nevada</t>
  </si>
  <si>
    <t>Arkansas</t>
  </si>
  <si>
    <t>Mississippi</t>
  </si>
  <si>
    <t>Kansas</t>
  </si>
  <si>
    <t>New Mexico</t>
  </si>
  <si>
    <t>Nebraska</t>
  </si>
  <si>
    <t>West Virginia</t>
  </si>
  <si>
    <t>Idaho</t>
  </si>
  <si>
    <t>Hawaii</t>
  </si>
  <si>
    <t>New Hampshire</t>
  </si>
  <si>
    <t>Maine</t>
  </si>
  <si>
    <t>Montana</t>
  </si>
  <si>
    <t>Rhode Island</t>
  </si>
  <si>
    <t>Delaware</t>
  </si>
  <si>
    <t>South Dakota</t>
  </si>
  <si>
    <t>North Dakota</t>
  </si>
  <si>
    <t>Alaska</t>
  </si>
  <si>
    <t>District of Columbia</t>
  </si>
  <si>
    <t>Vermont</t>
  </si>
  <si>
    <t>Wyoming</t>
  </si>
  <si>
    <t>Random row #</t>
  </si>
  <si>
    <t>Random state</t>
  </si>
  <si>
    <t>Random population</t>
  </si>
  <si>
    <t>STATE</t>
  </si>
  <si>
    <t>CORRECT ANSWER:</t>
  </si>
  <si>
    <t>AMOUNT OFF:</t>
  </si>
  <si>
    <t>% OFF:</t>
  </si>
  <si>
    <t>Rank</t>
  </si>
  <si>
    <t>CURRENT GUESS:</t>
  </si>
  <si>
    <t>POINTS AWARDED</t>
  </si>
  <si>
    <t>TOTAL SCORE</t>
  </si>
  <si>
    <t>Enter guess here:</t>
  </si>
  <si>
    <t>GUESSES</t>
  </si>
  <si>
    <t>Searches</t>
  </si>
  <si>
    <t>Bidded Searches</t>
  </si>
  <si>
    <t>Bidded Clicks</t>
  </si>
  <si>
    <t>RPM</t>
  </si>
  <si>
    <t>CTR</t>
  </si>
  <si>
    <t>PPC</t>
  </si>
  <si>
    <t>Grand Total</t>
  </si>
  <si>
    <t>Market</t>
  </si>
  <si>
    <t>% of total searches</t>
  </si>
  <si>
    <t>Gross revenue</t>
  </si>
  <si>
    <t>% total revenue</t>
  </si>
  <si>
    <t>Austria</t>
  </si>
  <si>
    <t>Canada</t>
  </si>
  <si>
    <t>Denmark</t>
  </si>
  <si>
    <t>Finland</t>
  </si>
  <si>
    <t>France</t>
  </si>
  <si>
    <t>Germany</t>
  </si>
  <si>
    <t>India</t>
  </si>
  <si>
    <t>Italy</t>
  </si>
  <si>
    <t>Mexico</t>
  </si>
  <si>
    <t>Netherlands</t>
  </si>
  <si>
    <t>Norway</t>
  </si>
  <si>
    <t>Singapore</t>
  </si>
  <si>
    <t>Spain</t>
  </si>
  <si>
    <t>Sweden</t>
  </si>
  <si>
    <t>United Kingdom</t>
  </si>
  <si>
    <t>United States</t>
  </si>
  <si>
    <t>Coverage</t>
  </si>
  <si>
    <t>Click Yield</t>
  </si>
  <si>
    <t>RPM Rank</t>
  </si>
  <si>
    <t>Gross revenue rank</t>
  </si>
  <si>
    <t>Searches rank</t>
  </si>
  <si>
    <t>RANDOM MARKET</t>
  </si>
  <si>
    <t>RANDOM STAT</t>
  </si>
  <si>
    <t>RANDOM MARKET ROW NO.</t>
  </si>
  <si>
    <t>Value</t>
  </si>
  <si>
    <t>Stat</t>
  </si>
  <si>
    <t>Japan</t>
  </si>
  <si>
    <t>Argentina</t>
  </si>
  <si>
    <t>Greece</t>
  </si>
  <si>
    <t>PPC Rank</t>
  </si>
  <si>
    <t>Coverage rank</t>
  </si>
  <si>
    <t>CTR Rank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</si>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</sst>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0.0%"/>
    <numFmt numFmtId="165" formatCode="#,&quot;M&quot;"/>
    <numFmt numFmtId="166" formatCode="&quot;$&quot;#,&quot;k&quot;"/>
  </numFmts>
  <fonts count="55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Verdana"/>
      <family val="2"/>
    </font>
    <font>
      <sz val="12"/>
      <color theme="0" tint="-0.34998626667073579"/>
      <name val="Verdana"/>
      <family val="2"/>
    </font>
    <font>
      <sz val="12"/>
      <color theme="0" tint="-4.9989318521683403E-2"/>
      <name val="Verdana"/>
      <family val="2"/>
    </font>
    <font>
      <sz val="36"/>
      <color theme="1"/>
      <name val="Verdana"/>
      <family val="2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0" tint="-0.499984740745262"/>
      <name val="Verdana"/>
      <family val="2"/>
    </font>
    <font>
      <sz val="10"/>
      <color theme="1"/>
      <name val="Verdana"/>
      <family val="2"/>
    </font>
    <font>
      <sz val="14"/>
      <color theme="1"/>
      <name val="Verdana"/>
      <family val="2"/>
    </font>
    <font>
      <sz val="11"/>
      <color theme="0" tint="-0.34998626667073579"/>
      <name val="Verdana"/>
      <family val="2"/>
    </font>
    <font>
      <b/>
      <sz val="18"/>
      <color theme="0"/>
      <name val="Verdana"/>
      <family val="2"/>
    </font>
    <font>
      <sz val="18"/>
      <color theme="0" tint="-0.34998626667073579"/>
      <name val="Verdana"/>
      <family val="2"/>
    </font>
    <font>
      <sz val="28"/>
      <color theme="1"/>
      <name val="Verdana"/>
      <family val="2"/>
    </font>
    <font>
      <sz val="16"/>
      <color theme="1"/>
      <name val="Verdana"/>
      <family val="2"/>
    </font>
    <font>
      <sz val="16"/>
      <color indexed="9"/>
      <name val="Verdana"/>
      <family val="2"/>
    </font>
    <font>
      <sz val="28"/>
      <color indexed="9"/>
      <name val="Verdana"/>
      <family val="2"/>
    </font>
    <font>
      <sz val="18"/>
      <color indexed="9"/>
      <name val="Verdana"/>
      <family val="2"/>
    </font>
    <font>
      <b/>
      <sz val="20"/>
      <color indexed="9"/>
      <name val="Verdana"/>
      <family val="2"/>
    </font>
    <font>
      <sz val="12"/>
      <color indexed="9"/>
      <name val="Verdana"/>
      <family val="2"/>
    </font>
    <font>
      <sz val="20"/>
      <color indexed="9"/>
      <name val="Verdana"/>
      <family val="2"/>
    </font>
    <font>
      <sz val="12"/>
      <color theme="0" tint="-0.14999847407452621"/>
      <name val="Verdana"/>
      <family val="2"/>
    </font>
    <font>
      <sz val="12"/>
      <color theme="0"/>
      <name val="Verdana"/>
      <family val="2"/>
    </font>
    <font>
      <b/>
      <sz val="12"/>
      <name val="Calibri"/>
      <family val="2"/>
    </font>
    <font>
      <sz val="16"/>
      <color theme="0" tint="-0.499984740745262"/>
      <name val="Verdana"/>
      <family val="2"/>
    </font>
    <font>
      <sz val="28"/>
      <color theme="0" tint="-0.499984740745262"/>
      <name val="Verdana"/>
      <family val="2"/>
    </font>
    <font>
      <sz val="18"/>
      <color theme="0" tint="-0.499984740745262"/>
      <name val="Verdana"/>
      <family val="2"/>
    </font>
    <font>
      <sz val="20"/>
      <color theme="0" tint="-0.499984740745262"/>
      <name val="Verdana"/>
      <family val="2"/>
    </font>
    <font>
      <i/>
      <sz val="18"/>
      <color theme="0" tint="-0.499984740745262"/>
      <name val="Verdana"/>
      <family val="2"/>
    </font>
    <font>
      <sz val="12"/>
      <color rgb="FF808080"/>
      <name val="Roboto"/>
    </font>
    <font>
      <sz val="12"/>
      <color rgb="FF000000"/>
      <name val="Calibri"/>
      <family val="2"/>
    </font>
    <font>
      <sz val="12"/>
      <color indexed="22"/>
      <name val="Verdana"/>
      <family val="2"/>
    </font>
    <font>
      <sz val="16"/>
      <color indexed="22"/>
      <name val="Verdana"/>
      <family val="2"/>
    </font>
    <font>
      <sz val="28"/>
      <color indexed="22"/>
      <name val="Verdana"/>
      <family val="2"/>
    </font>
    <font>
      <sz val="18"/>
      <color indexed="22"/>
      <name val="Verdana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AFCE"/>
        <bgColor indexed="64"/>
      </patternFill>
    </fill>
    <fill>
      <patternFill patternType="solid">
        <fgColor rgb="FF00B0C8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6">
    <xf numFmtId="0" fontId="0" fillId="0" borderId="0" xfId="0"/>
    <xf numFmtId="4" fontId="0" fillId="0" borderId="0" xfId="0" applyNumberFormat="1"/>
    <xf numFmtId="3" fontId="0" fillId="0" borderId="0" xfId="0" applyNumberFormat="1"/>
    <xf numFmtId="0" fontId="16" fillId="0" borderId="0" xfId="0" applyFont="1"/>
    <xf numFmtId="3" fontId="16" fillId="0" borderId="0" xfId="0" applyNumberFormat="1" applyFont="1"/>
    <xf numFmtId="0" fontId="0" fillId="0" borderId="0" xfId="0" applyBorder="1"/>
    <xf numFmtId="0" fontId="0" fillId="0" borderId="0" xfId="0" applyAlignment="1">
      <alignment vertical="center"/>
    </xf>
    <xf numFmtId="0" fontId="20" fillId="0" borderId="0" xfId="0" applyFont="1"/>
    <xf numFmtId="0" fontId="0" fillId="0" borderId="10" xfId="0" applyBorder="1"/>
    <xf numFmtId="0" fontId="21" fillId="34" borderId="11" xfId="0" applyFont="1" applyFill="1" applyBorder="1"/>
    <xf numFmtId="0" fontId="21" fillId="34" borderId="12" xfId="0" applyFont="1" applyFill="1" applyBorder="1"/>
    <xf numFmtId="0" fontId="21" fillId="34" borderId="13" xfId="0" applyFont="1" applyFill="1" applyBorder="1"/>
    <xf numFmtId="0" fontId="21" fillId="34" borderId="14" xfId="0" applyFont="1" applyFill="1" applyBorder="1"/>
    <xf numFmtId="0" fontId="21" fillId="34" borderId="0" xfId="0" applyFont="1" applyFill="1" applyBorder="1"/>
    <xf numFmtId="0" fontId="21" fillId="34" borderId="15" xfId="0" applyFont="1" applyFill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3" fontId="26" fillId="0" borderId="0" xfId="0" applyNumberFormat="1" applyFont="1" applyBorder="1" applyAlignment="1">
      <alignment horizontal="center" vertical="center"/>
    </xf>
    <xf numFmtId="3" fontId="26" fillId="0" borderId="15" xfId="0" applyNumberFormat="1" applyFont="1" applyBorder="1" applyAlignment="1">
      <alignment horizontal="center" vertical="center"/>
    </xf>
    <xf numFmtId="3" fontId="24" fillId="0" borderId="14" xfId="0" applyNumberFormat="1" applyFont="1" applyBorder="1" applyAlignment="1">
      <alignment horizontal="center" vertical="center"/>
    </xf>
    <xf numFmtId="3" fontId="24" fillId="33" borderId="19" xfId="0" applyNumberFormat="1" applyFont="1" applyFill="1" applyBorder="1" applyAlignment="1">
      <alignment horizontal="center" vertical="center"/>
    </xf>
    <xf numFmtId="3" fontId="24" fillId="33" borderId="20" xfId="0" applyNumberFormat="1" applyFont="1" applyFill="1" applyBorder="1" applyAlignment="1">
      <alignment horizontal="center" vertical="center"/>
    </xf>
    <xf numFmtId="3" fontId="24" fillId="0" borderId="20" xfId="0" applyNumberFormat="1" applyFont="1" applyBorder="1" applyAlignment="1">
      <alignment horizontal="center" vertical="center"/>
    </xf>
    <xf numFmtId="3" fontId="24" fillId="0" borderId="21" xfId="0" applyNumberFormat="1" applyFont="1" applyBorder="1" applyAlignment="1">
      <alignment horizontal="center" vertical="center"/>
    </xf>
    <xf numFmtId="3" fontId="24" fillId="0" borderId="15" xfId="0" applyNumberFormat="1" applyFont="1" applyBorder="1" applyAlignment="1">
      <alignment horizontal="center" vertical="center"/>
    </xf>
    <xf numFmtId="0" fontId="28" fillId="0" borderId="14" xfId="0" applyFont="1" applyBorder="1"/>
    <xf numFmtId="0" fontId="30" fillId="0" borderId="14" xfId="0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18" xfId="0" applyFont="1" applyBorder="1"/>
    <xf numFmtId="0" fontId="21" fillId="0" borderId="0" xfId="0" applyFont="1"/>
    <xf numFmtId="3" fontId="0" fillId="0" borderId="10" xfId="0" applyNumberFormat="1" applyBorder="1"/>
    <xf numFmtId="9" fontId="0" fillId="0" borderId="10" xfId="0" applyNumberFormat="1" applyBorder="1"/>
    <xf numFmtId="4" fontId="0" fillId="0" borderId="10" xfId="0" applyNumberFormat="1" applyBorder="1"/>
    <xf numFmtId="0" fontId="0" fillId="0" borderId="0" xfId="0" applyFill="1" applyBorder="1"/>
    <xf numFmtId="0" fontId="39" fillId="0" borderId="14" xfId="0" applyFont="1" applyBorder="1"/>
    <xf numFmtId="0" fontId="39" fillId="0" borderId="0" xfId="0" applyFont="1" applyBorder="1"/>
    <xf numFmtId="0" fontId="39" fillId="0" borderId="14" xfId="0" applyFont="1" applyFill="1" applyBorder="1"/>
    <xf numFmtId="0" fontId="39" fillId="0" borderId="0" xfId="0" applyFont="1" applyFill="1" applyBorder="1"/>
    <xf numFmtId="0" fontId="21" fillId="0" borderId="0" xfId="0" applyFont="1" applyFill="1" applyBorder="1"/>
    <xf numFmtId="0" fontId="21" fillId="0" borderId="15" xfId="0" applyFont="1" applyFill="1" applyBorder="1"/>
    <xf numFmtId="0" fontId="0" fillId="0" borderId="0" xfId="0" applyFill="1"/>
    <xf numFmtId="3" fontId="40" fillId="0" borderId="14" xfId="0" applyNumberFormat="1" applyFont="1" applyBorder="1" applyAlignment="1">
      <alignment horizontal="center" vertical="center"/>
    </xf>
    <xf numFmtId="0" fontId="0" fillId="0" borderId="10" xfId="0" applyFont="1" applyFill="1" applyBorder="1"/>
    <xf numFmtId="0" fontId="0" fillId="0" borderId="10" xfId="0" applyFill="1" applyBorder="1"/>
    <xf numFmtId="3" fontId="42" fillId="35" borderId="14" xfId="0" applyNumberFormat="1" applyFont="1" applyFill="1" applyBorder="1"/>
    <xf numFmtId="8" fontId="0" fillId="0" borderId="0" xfId="0" applyNumberFormat="1"/>
    <xf numFmtId="164" fontId="0" fillId="0" borderId="0" xfId="0" applyNumberFormat="1"/>
    <xf numFmtId="9" fontId="0" fillId="0" borderId="0" xfId="0" applyNumberFormat="1"/>
    <xf numFmtId="0" fontId="18" fillId="0" borderId="0" xfId="0" applyFont="1" applyBorder="1" applyAlignment="1">
      <alignment horizontal="left"/>
    </xf>
    <xf numFmtId="3" fontId="18" fillId="0" borderId="0" xfId="0" applyNumberFormat="1" applyFont="1" applyBorder="1" applyAlignment="1">
      <alignment horizontal="left"/>
    </xf>
    <xf numFmtId="8" fontId="18" fillId="0" borderId="0" xfId="0" applyNumberFormat="1" applyFont="1" applyBorder="1" applyAlignment="1">
      <alignment horizontal="left"/>
    </xf>
    <xf numFmtId="164" fontId="18" fillId="0" borderId="0" xfId="0" applyNumberFormat="1" applyFont="1" applyBorder="1" applyAlignment="1">
      <alignment horizontal="left"/>
    </xf>
    <xf numFmtId="9" fontId="18" fillId="0" borderId="0" xfId="0" applyNumberFormat="1" applyFont="1" applyBorder="1" applyAlignment="1">
      <alignment horizontal="left"/>
    </xf>
    <xf numFmtId="9" fontId="0" fillId="0" borderId="0" xfId="0" applyNumberFormat="1" applyFill="1"/>
    <xf numFmtId="8" fontId="0" fillId="0" borderId="0" xfId="0" applyNumberFormat="1" applyFill="1"/>
    <xf numFmtId="3" fontId="0" fillId="0" borderId="0" xfId="0" applyNumberFormat="1" applyFill="1"/>
    <xf numFmtId="164" fontId="0" fillId="0" borderId="0" xfId="0" applyNumberFormat="1" applyFill="1"/>
    <xf numFmtId="165" fontId="0" fillId="0" borderId="0" xfId="0" applyNumberFormat="1"/>
    <xf numFmtId="165" fontId="0" fillId="0" borderId="0" xfId="0" applyNumberFormat="1" applyFill="1"/>
    <xf numFmtId="4" fontId="0" fillId="0" borderId="0" xfId="0" applyNumberFormat="1" applyFill="1"/>
    <xf numFmtId="165" fontId="16" fillId="0" borderId="11" xfId="0" applyNumberFormat="1" applyFont="1" applyBorder="1"/>
    <xf numFmtId="3" fontId="0" fillId="0" borderId="0" xfId="0" applyNumberFormat="1" applyBorder="1"/>
    <xf numFmtId="164" fontId="16" fillId="0" borderId="13" xfId="0" applyNumberFormat="1" applyFont="1" applyBorder="1"/>
    <xf numFmtId="164" fontId="0" fillId="0" borderId="15" xfId="0" applyNumberFormat="1" applyBorder="1"/>
    <xf numFmtId="8" fontId="43" fillId="0" borderId="11" xfId="0" applyNumberFormat="1" applyFont="1" applyFill="1" applyBorder="1" applyAlignment="1">
      <alignment horizontal="left"/>
    </xf>
    <xf numFmtId="3" fontId="43" fillId="0" borderId="13" xfId="0" applyNumberFormat="1" applyFont="1" applyFill="1" applyBorder="1" applyAlignment="1">
      <alignment horizontal="left"/>
    </xf>
    <xf numFmtId="8" fontId="0" fillId="0" borderId="14" xfId="0" applyNumberFormat="1" applyFill="1" applyBorder="1"/>
    <xf numFmtId="3" fontId="0" fillId="0" borderId="15" xfId="0" applyNumberFormat="1" applyFill="1" applyBorder="1"/>
    <xf numFmtId="0" fontId="0" fillId="0" borderId="11" xfId="0" applyBorder="1"/>
    <xf numFmtId="3" fontId="0" fillId="0" borderId="12" xfId="0" applyNumberFormat="1" applyBorder="1"/>
    <xf numFmtId="164" fontId="0" fillId="0" borderId="13" xfId="0" applyNumberFormat="1" applyBorder="1"/>
    <xf numFmtId="8" fontId="0" fillId="0" borderId="11" xfId="0" applyNumberFormat="1" applyFill="1" applyBorder="1"/>
    <xf numFmtId="3" fontId="0" fillId="0" borderId="13" xfId="0" applyNumberFormat="1" applyFill="1" applyBorder="1"/>
    <xf numFmtId="0" fontId="0" fillId="0" borderId="14" xfId="0" applyBorder="1"/>
    <xf numFmtId="164" fontId="16" fillId="0" borderId="21" xfId="0" applyNumberFormat="1" applyFont="1" applyBorder="1"/>
    <xf numFmtId="0" fontId="16" fillId="0" borderId="20" xfId="0" applyFont="1" applyBorder="1"/>
    <xf numFmtId="0" fontId="24" fillId="0" borderId="14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7" fillId="0" borderId="0" xfId="0" applyFont="1" applyBorder="1"/>
    <xf numFmtId="0" fontId="27" fillId="0" borderId="15" xfId="0" applyFont="1" applyBorder="1"/>
    <xf numFmtId="3" fontId="47" fillId="0" borderId="14" xfId="0" applyNumberFormat="1" applyFont="1" applyBorder="1" applyAlignment="1">
      <alignment horizontal="center" vertical="center"/>
    </xf>
    <xf numFmtId="3" fontId="47" fillId="0" borderId="0" xfId="0" applyNumberFormat="1" applyFont="1" applyBorder="1" applyAlignment="1">
      <alignment horizontal="center" vertical="center"/>
    </xf>
    <xf numFmtId="3" fontId="47" fillId="0" borderId="1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5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20" fillId="0" borderId="10" xfId="0" applyFont="1" applyBorder="1"/>
    <xf numFmtId="0" fontId="20" fillId="0" borderId="10" xfId="0" applyFon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5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4" fontId="16" fillId="0" borderId="20" xfId="0" applyNumberFormat="1" applyFont="1" applyBorder="1"/>
    <xf numFmtId="3" fontId="16" fillId="0" borderId="20" xfId="0" applyNumberFormat="1" applyFont="1" applyBorder="1"/>
    <xf numFmtId="3" fontId="0" fillId="0" borderId="11" xfId="0" applyNumberFormat="1" applyBorder="1"/>
    <xf numFmtId="3" fontId="0" fillId="0" borderId="14" xfId="0" applyNumberFormat="1" applyBorder="1"/>
    <xf numFmtId="8" fontId="16" fillId="0" borderId="19" xfId="0" applyNumberFormat="1" applyFont="1" applyBorder="1"/>
    <xf numFmtId="8" fontId="0" fillId="0" borderId="11" xfId="0" applyNumberFormat="1" applyBorder="1"/>
    <xf numFmtId="8" fontId="0" fillId="0" borderId="14" xfId="0" applyNumberFormat="1" applyBorder="1"/>
    <xf numFmtId="3" fontId="16" fillId="0" borderId="20" xfId="0" applyNumberFormat="1" applyFont="1" applyBorder="1" applyAlignment="1">
      <alignment horizontal="center"/>
    </xf>
    <xf numFmtId="3" fontId="0" fillId="0" borderId="0" xfId="0" applyNumberFormat="1" applyFill="1" applyAlignment="1">
      <alignment horizontal="center"/>
    </xf>
    <xf numFmtId="3" fontId="0" fillId="0" borderId="0" xfId="0" applyNumberFormat="1" applyAlignment="1">
      <alignment horizontal="center"/>
    </xf>
    <xf numFmtId="3" fontId="16" fillId="0" borderId="12" xfId="0" applyNumberFormat="1" applyFont="1" applyBorder="1" applyAlignment="1">
      <alignment horizontal="center"/>
    </xf>
    <xf numFmtId="3" fontId="16" fillId="0" borderId="12" xfId="0" applyNumberFormat="1" applyFont="1" applyBorder="1"/>
    <xf numFmtId="4" fontId="16" fillId="0" borderId="12" xfId="0" applyNumberFormat="1" applyFont="1" applyBorder="1"/>
    <xf numFmtId="6" fontId="0" fillId="0" borderId="0" xfId="0" applyNumberFormat="1" applyFill="1"/>
    <xf numFmtId="6" fontId="0" fillId="0" borderId="0" xfId="0" applyNumberFormat="1"/>
    <xf numFmtId="0" fontId="0" fillId="0" borderId="13" xfId="0" applyBorder="1"/>
    <xf numFmtId="0" fontId="0" fillId="0" borderId="15" xfId="0" applyBorder="1"/>
    <xf numFmtId="165" fontId="16" fillId="0" borderId="12" xfId="0" applyNumberFormat="1" applyFont="1" applyBorder="1" applyAlignment="1">
      <alignment horizontal="center"/>
    </xf>
    <xf numFmtId="164" fontId="0" fillId="0" borderId="0" xfId="0" applyNumberFormat="1" applyBorder="1"/>
    <xf numFmtId="164" fontId="0" fillId="0" borderId="12" xfId="0" applyNumberFormat="1" applyBorder="1"/>
    <xf numFmtId="6" fontId="16" fillId="0" borderId="11" xfId="0" applyNumberFormat="1" applyFont="1" applyBorder="1"/>
    <xf numFmtId="6" fontId="0" fillId="0" borderId="11" xfId="0" applyNumberFormat="1" applyBorder="1"/>
    <xf numFmtId="6" fontId="0" fillId="0" borderId="14" xfId="0" applyNumberFormat="1" applyBorder="1"/>
    <xf numFmtId="164" fontId="43" fillId="0" borderId="11" xfId="0" applyNumberFormat="1" applyFont="1" applyFill="1" applyBorder="1" applyAlignment="1">
      <alignment horizontal="left"/>
    </xf>
    <xf numFmtId="164" fontId="43" fillId="0" borderId="13" xfId="0" applyNumberFormat="1" applyFont="1" applyFill="1" applyBorder="1" applyAlignment="1">
      <alignment horizontal="left"/>
    </xf>
    <xf numFmtId="164" fontId="0" fillId="0" borderId="11" xfId="0" applyNumberFormat="1" applyFill="1" applyBorder="1"/>
    <xf numFmtId="164" fontId="0" fillId="0" borderId="14" xfId="0" applyNumberFormat="1" applyFill="1" applyBorder="1"/>
    <xf numFmtId="9" fontId="43" fillId="0" borderId="11" xfId="0" applyNumberFormat="1" applyFont="1" applyFill="1" applyBorder="1" applyAlignment="1">
      <alignment horizontal="left"/>
    </xf>
    <xf numFmtId="9" fontId="43" fillId="0" borderId="13" xfId="0" applyNumberFormat="1" applyFont="1" applyFill="1" applyBorder="1" applyAlignment="1">
      <alignment horizontal="left"/>
    </xf>
    <xf numFmtId="9" fontId="0" fillId="0" borderId="11" xfId="0" applyNumberFormat="1" applyFill="1" applyBorder="1"/>
    <xf numFmtId="9" fontId="0" fillId="0" borderId="14" xfId="0" applyNumberFormat="1" applyFill="1" applyBorder="1"/>
    <xf numFmtId="164" fontId="16" fillId="0" borderId="12" xfId="0" applyNumberFormat="1" applyFont="1" applyBorder="1"/>
    <xf numFmtId="0" fontId="16" fillId="0" borderId="11" xfId="0" applyFont="1" applyBorder="1"/>
    <xf numFmtId="0" fontId="16" fillId="0" borderId="13" xfId="0" applyFont="1" applyBorder="1"/>
    <xf numFmtId="0" fontId="16" fillId="0" borderId="19" xfId="0" applyFont="1" applyBorder="1"/>
    <xf numFmtId="3" fontId="0" fillId="0" borderId="19" xfId="0" applyNumberFormat="1" applyBorder="1"/>
    <xf numFmtId="3" fontId="0" fillId="0" borderId="20" xfId="0" applyNumberFormat="1" applyBorder="1" applyAlignment="1">
      <alignment horizontal="center"/>
    </xf>
    <xf numFmtId="6" fontId="0" fillId="0" borderId="19" xfId="0" applyNumberFormat="1" applyBorder="1"/>
    <xf numFmtId="8" fontId="0" fillId="0" borderId="19" xfId="0" applyNumberFormat="1" applyFill="1" applyBorder="1"/>
    <xf numFmtId="3" fontId="0" fillId="0" borderId="21" xfId="0" applyNumberFormat="1" applyFill="1" applyBorder="1"/>
    <xf numFmtId="9" fontId="0" fillId="0" borderId="19" xfId="0" applyNumberFormat="1" applyFill="1" applyBorder="1"/>
    <xf numFmtId="9" fontId="0" fillId="0" borderId="21" xfId="0" applyNumberFormat="1" applyFill="1" applyBorder="1"/>
    <xf numFmtId="164" fontId="0" fillId="0" borderId="19" xfId="0" applyNumberFormat="1" applyFill="1" applyBorder="1"/>
    <xf numFmtId="164" fontId="0" fillId="0" borderId="21" xfId="0" applyNumberFormat="1" applyFill="1" applyBorder="1"/>
    <xf numFmtId="164" fontId="0" fillId="0" borderId="20" xfId="0" applyNumberFormat="1" applyBorder="1"/>
    <xf numFmtId="0" fontId="16" fillId="0" borderId="21" xfId="0" applyFont="1" applyBorder="1"/>
    <xf numFmtId="0" fontId="16" fillId="0" borderId="0" xfId="0" applyFont="1" applyFill="1"/>
    <xf numFmtId="0" fontId="20" fillId="0" borderId="0" xfId="0" applyFont="1" applyFill="1"/>
    <xf numFmtId="6" fontId="20" fillId="0" borderId="0" xfId="0" applyNumberFormat="1" applyFont="1" applyFill="1"/>
    <xf numFmtId="165" fontId="0" fillId="0" borderId="0" xfId="0" applyNumberFormat="1" applyAlignment="1">
      <alignment horizontal="left"/>
    </xf>
    <xf numFmtId="165" fontId="16" fillId="0" borderId="0" xfId="0" applyNumberFormat="1" applyFont="1" applyFill="1" applyAlignment="1">
      <alignment horizontal="left"/>
    </xf>
    <xf numFmtId="0" fontId="31" fillId="0" borderId="0" xfId="0" applyFont="1" applyFill="1" applyBorder="1" applyAlignment="1">
      <alignment horizontal="center" vertical="center"/>
    </xf>
    <xf numFmtId="3" fontId="37" fillId="0" borderId="14" xfId="0" applyNumberFormat="1" applyFont="1" applyBorder="1" applyAlignment="1">
      <alignment horizontal="center"/>
    </xf>
    <xf numFmtId="3" fontId="37" fillId="0" borderId="0" xfId="0" applyNumberFormat="1" applyFont="1" applyBorder="1" applyAlignment="1">
      <alignment horizontal="center"/>
    </xf>
    <xf numFmtId="3" fontId="32" fillId="0" borderId="0" xfId="0" applyNumberFormat="1" applyFont="1" applyBorder="1" applyAlignment="1">
      <alignment horizontal="center"/>
    </xf>
    <xf numFmtId="3" fontId="32" fillId="0" borderId="15" xfId="0" applyNumberFormat="1" applyFont="1" applyBorder="1" applyAlignment="1">
      <alignment horizontal="center"/>
    </xf>
    <xf numFmtId="3" fontId="38" fillId="0" borderId="14" xfId="0" applyNumberFormat="1" applyFont="1" applyBorder="1" applyAlignment="1">
      <alignment horizontal="center"/>
    </xf>
    <xf numFmtId="3" fontId="38" fillId="0" borderId="0" xfId="0" applyNumberFormat="1" applyFont="1" applyBorder="1" applyAlignment="1">
      <alignment horizontal="center"/>
    </xf>
    <xf numFmtId="3" fontId="25" fillId="0" borderId="0" xfId="0" applyNumberFormat="1" applyFont="1" applyBorder="1" applyAlignment="1">
      <alignment horizontal="center"/>
    </xf>
    <xf numFmtId="3" fontId="25" fillId="0" borderId="15" xfId="0" applyNumberFormat="1" applyFont="1" applyBorder="1" applyAlignment="1">
      <alignment horizontal="center"/>
    </xf>
    <xf numFmtId="0" fontId="24" fillId="0" borderId="14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3" fillId="0" borderId="0" xfId="0" applyFont="1" applyFill="1" applyBorder="1" applyAlignment="1">
      <alignment horizontal="center" vertical="center"/>
    </xf>
    <xf numFmtId="0" fontId="29" fillId="0" borderId="14" xfId="0" applyFont="1" applyBorder="1" applyAlignment="1">
      <alignment horizontal="left" vertical="top"/>
    </xf>
    <xf numFmtId="0" fontId="29" fillId="0" borderId="0" xfId="0" applyFont="1" applyBorder="1" applyAlignment="1">
      <alignment horizontal="left" vertical="top"/>
    </xf>
    <xf numFmtId="0" fontId="29" fillId="0" borderId="15" xfId="0" applyFont="1" applyBorder="1" applyAlignment="1">
      <alignment horizontal="left" vertical="top"/>
    </xf>
    <xf numFmtId="0" fontId="35" fillId="0" borderId="14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34" fillId="0" borderId="15" xfId="0" applyFont="1" applyBorder="1" applyAlignment="1">
      <alignment horizontal="center"/>
    </xf>
    <xf numFmtId="3" fontId="36" fillId="0" borderId="14" xfId="0" applyNumberFormat="1" applyFont="1" applyBorder="1" applyAlignment="1">
      <alignment horizontal="center" vertical="center"/>
    </xf>
    <xf numFmtId="3" fontId="36" fillId="0" borderId="0" xfId="0" applyNumberFormat="1" applyFont="1" applyBorder="1" applyAlignment="1">
      <alignment horizontal="center" vertical="center"/>
    </xf>
    <xf numFmtId="3" fontId="33" fillId="0" borderId="0" xfId="0" applyNumberFormat="1" applyFont="1" applyBorder="1" applyAlignment="1">
      <alignment horizontal="center" vertical="center"/>
    </xf>
    <xf numFmtId="3" fontId="33" fillId="0" borderId="15" xfId="0" applyNumberFormat="1" applyFont="1" applyBorder="1" applyAlignment="1">
      <alignment horizontal="center" vertical="center"/>
    </xf>
    <xf numFmtId="0" fontId="27" fillId="0" borderId="14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15" xfId="0" applyFont="1" applyBorder="1" applyAlignment="1">
      <alignment horizontal="center"/>
    </xf>
    <xf numFmtId="3" fontId="19" fillId="0" borderId="19" xfId="0" applyNumberFormat="1" applyFont="1" applyBorder="1" applyAlignment="1">
      <alignment horizontal="center" vertical="center"/>
    </xf>
    <xf numFmtId="3" fontId="19" fillId="0" borderId="20" xfId="0" applyNumberFormat="1" applyFont="1" applyBorder="1" applyAlignment="1">
      <alignment horizontal="center" vertical="center"/>
    </xf>
    <xf numFmtId="3" fontId="19" fillId="0" borderId="21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27" fillId="0" borderId="14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15" xfId="0" applyFont="1" applyFill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3" fontId="45" fillId="0" borderId="0" xfId="0" applyNumberFormat="1" applyFont="1" applyBorder="1" applyAlignment="1">
      <alignment horizontal="center" vertical="center"/>
    </xf>
    <xf numFmtId="3" fontId="45" fillId="0" borderId="15" xfId="0" applyNumberFormat="1" applyFont="1" applyBorder="1" applyAlignment="1">
      <alignment horizontal="center" vertical="center"/>
    </xf>
    <xf numFmtId="3" fontId="46" fillId="0" borderId="0" xfId="0" applyNumberFormat="1" applyFont="1" applyBorder="1" applyAlignment="1">
      <alignment horizontal="center"/>
    </xf>
    <xf numFmtId="3" fontId="46" fillId="0" borderId="15" xfId="0" applyNumberFormat="1" applyFont="1" applyBorder="1" applyAlignment="1">
      <alignment horizontal="center"/>
    </xf>
    <xf numFmtId="3" fontId="48" fillId="0" borderId="14" xfId="0" applyNumberFormat="1" applyFont="1" applyBorder="1" applyAlignment="1">
      <alignment horizontal="center"/>
    </xf>
    <xf numFmtId="3" fontId="48" fillId="0" borderId="0" xfId="0" applyNumberFormat="1" applyFont="1" applyBorder="1" applyAlignment="1">
      <alignment horizontal="center"/>
    </xf>
    <xf numFmtId="3" fontId="48" fillId="0" borderId="15" xfId="0" applyNumberFormat="1" applyFont="1" applyBorder="1" applyAlignment="1">
      <alignment horizontal="center"/>
    </xf>
    <xf numFmtId="3" fontId="47" fillId="0" borderId="14" xfId="0" applyNumberFormat="1" applyFont="1" applyBorder="1" applyAlignment="1">
      <alignment horizontal="center"/>
    </xf>
    <xf numFmtId="3" fontId="47" fillId="0" borderId="0" xfId="0" applyNumberFormat="1" applyFont="1" applyBorder="1" applyAlignment="1">
      <alignment horizontal="center"/>
    </xf>
    <xf numFmtId="3" fontId="47" fillId="0" borderId="15" xfId="0" applyNumberFormat="1" applyFont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5" xfId="0" applyFont="1" applyBorder="1" applyAlignment="1">
      <alignment horizontal="center" vertical="center"/>
    </xf>
    <xf numFmtId="0" fontId="44" fillId="0" borderId="0" xfId="0" applyFont="1" applyBorder="1" applyAlignment="1">
      <alignment horizontal="center" wrapText="1"/>
    </xf>
    <xf numFmtId="0" fontId="44" fillId="0" borderId="15" xfId="0" applyFont="1" applyBorder="1" applyAlignment="1">
      <alignment horizontal="center" wrapText="1"/>
    </xf>
    <xf numFmtId="0" fontId="16" fillId="0" borderId="0" xfId="0" applyFont="1" applyBorder="1"/>
    <xf numFmtId="165" fontId="16" fillId="0" borderId="0" xfId="0" applyNumberFormat="1" applyFont="1" applyBorder="1"/>
    <xf numFmtId="164" fontId="16" fillId="0" borderId="0" xfId="0" applyNumberFormat="1" applyFont="1" applyBorder="1"/>
    <xf numFmtId="166" fontId="16" fillId="0" borderId="0" xfId="0" applyNumberFormat="1" applyFont="1" applyBorder="1"/>
    <xf numFmtId="8" fontId="43" fillId="0" borderId="0" xfId="0" applyNumberFormat="1" applyFont="1" applyFill="1" applyBorder="1" applyAlignment="1">
      <alignment horizontal="left"/>
    </xf>
    <xf numFmtId="3" fontId="43" fillId="0" borderId="0" xfId="0" applyNumberFormat="1" applyFont="1" applyFill="1" applyBorder="1" applyAlignment="1">
      <alignment horizontal="left"/>
    </xf>
    <xf numFmtId="9" fontId="43" fillId="0" borderId="0" xfId="0" applyNumberFormat="1" applyFont="1" applyFill="1" applyBorder="1" applyAlignment="1">
      <alignment horizontal="left"/>
    </xf>
    <xf numFmtId="0" fontId="0" fillId="0" borderId="0" xfId="0" applyBorder="1" applyAlignment="1">
      <alignment vertical="center"/>
    </xf>
    <xf numFmtId="164" fontId="43" fillId="0" borderId="0" xfId="0" applyNumberFormat="1" applyFont="1" applyFill="1" applyBorder="1" applyAlignment="1">
      <alignment horizontal="left"/>
    </xf>
    <xf numFmtId="0" fontId="20" fillId="0" borderId="0" xfId="0" applyFont="1" applyBorder="1"/>
    <xf numFmtId="0" fontId="51" fillId="0" borderId="14" xfId="0" applyFont="1" applyBorder="1"/>
    <xf numFmtId="0" fontId="52" fillId="0" borderId="14" xfId="0" applyFont="1" applyBorder="1" applyAlignment="1">
      <alignment horizontal="center" wrapText="1"/>
    </xf>
    <xf numFmtId="3" fontId="53" fillId="0" borderId="14" xfId="0" applyNumberFormat="1" applyFont="1" applyBorder="1" applyAlignment="1">
      <alignment horizontal="center" vertical="center"/>
    </xf>
    <xf numFmtId="3" fontId="54" fillId="0" borderId="14" xfId="0" applyNumberFormat="1" applyFont="1" applyBorder="1" applyAlignment="1">
      <alignment horizontal="center"/>
    </xf>
    <xf numFmtId="3" fontId="54" fillId="0" borderId="0" xfId="0" applyNumberFormat="1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B0C8"/>
      <color rgb="FF00A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9</xdr:row>
          <xdr:rowOff>190500</xdr:rowOff>
        </xdr:from>
        <xdr:to>
          <xdr:col>10</xdr:col>
          <xdr:colOff>50800</xdr:colOff>
          <xdr:row>12</xdr:row>
          <xdr:rowOff>38100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808080"/>
                  </a:solidFill>
                  <a:latin typeface="Roboto" charset="0"/>
                  <a:ea typeface="Roboto" charset="0"/>
                  <a:cs typeface="Roboto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30</xdr:row>
          <xdr:rowOff>12700</xdr:rowOff>
        </xdr:from>
        <xdr:to>
          <xdr:col>10</xdr:col>
          <xdr:colOff>152400</xdr:colOff>
          <xdr:row>31</xdr:row>
          <xdr:rowOff>177800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808080"/>
                  </a:solidFill>
                  <a:latin typeface="Roboto" charset="0"/>
                  <a:ea typeface="Roboto" charset="0"/>
                  <a:cs typeface="Roboto" charset="0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33</xdr:row>
          <xdr:rowOff>152400</xdr:rowOff>
        </xdr:from>
        <xdr:to>
          <xdr:col>9</xdr:col>
          <xdr:colOff>165100</xdr:colOff>
          <xdr:row>35</xdr:row>
          <xdr:rowOff>127000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12</xdr:row>
          <xdr:rowOff>190500</xdr:rowOff>
        </xdr:from>
        <xdr:to>
          <xdr:col>10</xdr:col>
          <xdr:colOff>50800</xdr:colOff>
          <xdr:row>15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808080"/>
                  </a:solidFill>
                  <a:latin typeface="Roboto" charset="0"/>
                  <a:ea typeface="Roboto" charset="0"/>
                  <a:cs typeface="Roboto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33</xdr:row>
          <xdr:rowOff>12700</xdr:rowOff>
        </xdr:from>
        <xdr:to>
          <xdr:col>10</xdr:col>
          <xdr:colOff>152400</xdr:colOff>
          <xdr:row>34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808080"/>
                  </a:solidFill>
                  <a:latin typeface="Roboto" charset="0"/>
                  <a:ea typeface="Roboto" charset="0"/>
                  <a:cs typeface="Roboto" charset="0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36</xdr:row>
          <xdr:rowOff>152400</xdr:rowOff>
        </xdr:from>
        <xdr:to>
          <xdr:col>9</xdr:col>
          <xdr:colOff>165100</xdr:colOff>
          <xdr:row>38</xdr:row>
          <xdr:rowOff>127000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BE21C62-C8A5-6343-AF80-C6523D5DC933}">
  <we:reference id="wa104197352" version="1.0.0.9" store="en-US" storeType="OMEX"/>
  <we:alternateReferences>
    <we:reference id="WA104197352" version="1.0.0.9" store="WA104197352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2"/>
  <sheetViews>
    <sheetView tabSelected="1" workbookViewId="0"/>
  </sheetViews>
  <sheetFormatPr baseColWidth="10" defaultRowHeight="16"/>
  <cols>
    <col min="1" max="1" width="17.5" bestFit="1" customWidth="1"/>
    <col min="2" max="2" width="14.33203125" style="2" bestFit="1" customWidth="1"/>
    <col min="3" max="3" width="5.33203125" style="2" bestFit="1" customWidth="1"/>
    <col min="4" max="4" width="17.33203125" bestFit="1" customWidth="1"/>
    <col min="5" max="5" width="8.1640625" bestFit="1" customWidth="1"/>
  </cols>
  <sheetData>
    <row r="1" spans="1:5">
      <c r="A1" s="3" t="s">
        <v>0</v>
      </c>
      <c r="B1" s="4" t="s">
        <v>1</v>
      </c>
      <c r="C1" s="4" t="s">
        <v>60</v>
      </c>
      <c r="D1" t="s">
        <v>53</v>
      </c>
      <c r="E1">
        <f ca="1">RANDBETWEEN(1,COUNTA(A2:A52))</f>
        <v>45</v>
      </c>
    </row>
    <row r="2" spans="1:5">
      <c r="A2" t="s">
        <v>2</v>
      </c>
      <c r="B2" s="2">
        <v>39776830</v>
      </c>
      <c r="C2" s="2">
        <f>RANK(B2,$B$2:$B$52)</f>
        <v>1</v>
      </c>
    </row>
    <row r="3" spans="1:5">
      <c r="A3" t="s">
        <v>3</v>
      </c>
      <c r="B3" s="2">
        <v>28704330</v>
      </c>
      <c r="C3" s="2">
        <f>RANK(B3,$B$2:$B$52)</f>
        <v>2</v>
      </c>
    </row>
    <row r="4" spans="1:5">
      <c r="A4" t="s">
        <v>4</v>
      </c>
      <c r="B4" s="2">
        <v>21312211</v>
      </c>
      <c r="C4" s="2">
        <f t="shared" ref="C4:C52" si="0">RANK(B4,$B$2:$B$52)</f>
        <v>3</v>
      </c>
      <c r="D4" t="s">
        <v>54</v>
      </c>
      <c r="E4" t="str">
        <f ca="1">INDEX(A2:A52, E1)</f>
        <v>Delaware</v>
      </c>
    </row>
    <row r="5" spans="1:5">
      <c r="A5" t="s">
        <v>5</v>
      </c>
      <c r="B5" s="2">
        <v>19862512</v>
      </c>
      <c r="C5" s="2">
        <f t="shared" si="0"/>
        <v>4</v>
      </c>
      <c r="D5" t="s">
        <v>55</v>
      </c>
      <c r="E5">
        <f ca="1">INDEX(A2:B52, E1, 2)</f>
        <v>971180</v>
      </c>
    </row>
    <row r="6" spans="1:5">
      <c r="A6" t="s">
        <v>6</v>
      </c>
      <c r="B6" s="2">
        <v>12823989</v>
      </c>
      <c r="C6" s="2">
        <f t="shared" si="0"/>
        <v>5</v>
      </c>
    </row>
    <row r="7" spans="1:5">
      <c r="A7" t="s">
        <v>7</v>
      </c>
      <c r="B7" s="2">
        <v>12768320</v>
      </c>
      <c r="C7" s="2">
        <f t="shared" si="0"/>
        <v>6</v>
      </c>
    </row>
    <row r="8" spans="1:5">
      <c r="A8" t="s">
        <v>8</v>
      </c>
      <c r="B8" s="2">
        <v>11694664</v>
      </c>
      <c r="C8" s="2">
        <f t="shared" si="0"/>
        <v>7</v>
      </c>
    </row>
    <row r="9" spans="1:5">
      <c r="A9" t="s">
        <v>9</v>
      </c>
      <c r="B9" s="2">
        <v>10545138</v>
      </c>
      <c r="C9" s="2">
        <f t="shared" si="0"/>
        <v>8</v>
      </c>
    </row>
    <row r="10" spans="1:5">
      <c r="A10" t="s">
        <v>10</v>
      </c>
      <c r="B10" s="2">
        <v>10390149</v>
      </c>
      <c r="C10" s="2">
        <f t="shared" si="0"/>
        <v>9</v>
      </c>
    </row>
    <row r="11" spans="1:5">
      <c r="A11" t="s">
        <v>11</v>
      </c>
      <c r="B11" s="2">
        <v>9991177</v>
      </c>
      <c r="C11" s="2">
        <f t="shared" si="0"/>
        <v>10</v>
      </c>
    </row>
    <row r="12" spans="1:5">
      <c r="A12" t="s">
        <v>12</v>
      </c>
      <c r="B12" s="2">
        <v>9032872</v>
      </c>
      <c r="C12" s="2">
        <f t="shared" si="0"/>
        <v>11</v>
      </c>
    </row>
    <row r="13" spans="1:5">
      <c r="A13" t="s">
        <v>13</v>
      </c>
      <c r="B13" s="2">
        <v>8525660</v>
      </c>
      <c r="C13" s="2">
        <f t="shared" si="0"/>
        <v>12</v>
      </c>
    </row>
    <row r="14" spans="1:5">
      <c r="A14" t="s">
        <v>14</v>
      </c>
      <c r="B14" s="2">
        <v>7530552</v>
      </c>
      <c r="C14" s="2">
        <f t="shared" si="0"/>
        <v>13</v>
      </c>
    </row>
    <row r="15" spans="1:5">
      <c r="A15" t="s">
        <v>15</v>
      </c>
      <c r="B15" s="2">
        <v>7123898</v>
      </c>
      <c r="C15" s="2">
        <f t="shared" si="0"/>
        <v>14</v>
      </c>
    </row>
    <row r="16" spans="1:5">
      <c r="A16" t="s">
        <v>16</v>
      </c>
      <c r="B16" s="2">
        <v>6895917</v>
      </c>
      <c r="C16" s="2">
        <f t="shared" si="0"/>
        <v>15</v>
      </c>
    </row>
    <row r="17" spans="1:3">
      <c r="A17" t="s">
        <v>17</v>
      </c>
      <c r="B17" s="2">
        <v>6782564</v>
      </c>
      <c r="C17" s="2">
        <f t="shared" si="0"/>
        <v>16</v>
      </c>
    </row>
    <row r="18" spans="1:3">
      <c r="A18" t="s">
        <v>18</v>
      </c>
      <c r="B18" s="2">
        <v>6699629</v>
      </c>
      <c r="C18" s="2">
        <f t="shared" si="0"/>
        <v>17</v>
      </c>
    </row>
    <row r="19" spans="1:3">
      <c r="A19" t="s">
        <v>19</v>
      </c>
      <c r="B19" s="2">
        <v>6135888</v>
      </c>
      <c r="C19" s="2">
        <f t="shared" si="0"/>
        <v>18</v>
      </c>
    </row>
    <row r="20" spans="1:3">
      <c r="A20" t="s">
        <v>20</v>
      </c>
      <c r="B20" s="2">
        <v>6079602</v>
      </c>
      <c r="C20" s="2">
        <f t="shared" si="0"/>
        <v>19</v>
      </c>
    </row>
    <row r="21" spans="1:3">
      <c r="A21" t="s">
        <v>21</v>
      </c>
      <c r="B21" s="2">
        <v>5818049</v>
      </c>
      <c r="C21" s="2">
        <f t="shared" si="0"/>
        <v>20</v>
      </c>
    </row>
    <row r="22" spans="1:3">
      <c r="A22" t="s">
        <v>22</v>
      </c>
      <c r="B22" s="2">
        <v>5684203</v>
      </c>
      <c r="C22" s="2">
        <f t="shared" si="0"/>
        <v>21</v>
      </c>
    </row>
    <row r="23" spans="1:3">
      <c r="A23" t="s">
        <v>23</v>
      </c>
      <c r="B23" s="2">
        <v>5628162</v>
      </c>
      <c r="C23" s="2">
        <f t="shared" si="0"/>
        <v>22</v>
      </c>
    </row>
    <row r="24" spans="1:3">
      <c r="A24" t="s">
        <v>24</v>
      </c>
      <c r="B24" s="2">
        <v>5088916</v>
      </c>
      <c r="C24" s="2">
        <f t="shared" si="0"/>
        <v>23</v>
      </c>
    </row>
    <row r="25" spans="1:3">
      <c r="A25" t="s">
        <v>25</v>
      </c>
      <c r="B25" s="2">
        <v>4888949</v>
      </c>
      <c r="C25" s="2">
        <f t="shared" si="0"/>
        <v>24</v>
      </c>
    </row>
    <row r="26" spans="1:3">
      <c r="A26" t="s">
        <v>26</v>
      </c>
      <c r="B26" s="2">
        <v>4682509</v>
      </c>
      <c r="C26" s="2">
        <f t="shared" si="0"/>
        <v>25</v>
      </c>
    </row>
    <row r="27" spans="1:3">
      <c r="A27" t="s">
        <v>27</v>
      </c>
      <c r="B27" s="2">
        <v>4472265</v>
      </c>
      <c r="C27" s="2">
        <f t="shared" si="0"/>
        <v>26</v>
      </c>
    </row>
    <row r="28" spans="1:3">
      <c r="A28" t="s">
        <v>28</v>
      </c>
      <c r="B28" s="2">
        <v>4199563</v>
      </c>
      <c r="C28" s="2">
        <f t="shared" si="0"/>
        <v>27</v>
      </c>
    </row>
    <row r="29" spans="1:3">
      <c r="A29" t="s">
        <v>29</v>
      </c>
      <c r="B29" s="2">
        <v>3940521</v>
      </c>
      <c r="C29" s="2">
        <f t="shared" si="0"/>
        <v>28</v>
      </c>
    </row>
    <row r="30" spans="1:3">
      <c r="A30" t="s">
        <v>30</v>
      </c>
      <c r="B30" s="2">
        <v>3588683</v>
      </c>
      <c r="C30" s="2">
        <f t="shared" si="0"/>
        <v>29</v>
      </c>
    </row>
    <row r="31" spans="1:3">
      <c r="A31" t="s">
        <v>31</v>
      </c>
      <c r="B31" s="2">
        <v>3160553</v>
      </c>
      <c r="C31" s="2">
        <f t="shared" si="0"/>
        <v>30</v>
      </c>
    </row>
    <row r="32" spans="1:3">
      <c r="A32" t="s">
        <v>32</v>
      </c>
      <c r="B32" s="2">
        <v>3159345</v>
      </c>
      <c r="C32" s="2">
        <f t="shared" si="0"/>
        <v>31</v>
      </c>
    </row>
    <row r="33" spans="1:3">
      <c r="A33" t="s">
        <v>33</v>
      </c>
      <c r="B33" s="2">
        <v>3056824</v>
      </c>
      <c r="C33" s="2">
        <f t="shared" si="0"/>
        <v>32</v>
      </c>
    </row>
    <row r="34" spans="1:3">
      <c r="A34" t="s">
        <v>34</v>
      </c>
      <c r="B34" s="2">
        <v>3020327</v>
      </c>
      <c r="C34" s="2">
        <f t="shared" si="0"/>
        <v>33</v>
      </c>
    </row>
    <row r="35" spans="1:3">
      <c r="A35" t="s">
        <v>35</v>
      </c>
      <c r="B35" s="2">
        <v>2982785</v>
      </c>
      <c r="C35" s="2">
        <f t="shared" si="0"/>
        <v>34</v>
      </c>
    </row>
    <row r="36" spans="1:3">
      <c r="A36" t="s">
        <v>36</v>
      </c>
      <c r="B36" s="2">
        <v>2918515</v>
      </c>
      <c r="C36" s="2">
        <f t="shared" si="0"/>
        <v>35</v>
      </c>
    </row>
    <row r="37" spans="1:3">
      <c r="A37" t="s">
        <v>37</v>
      </c>
      <c r="B37" s="2">
        <v>2090708</v>
      </c>
      <c r="C37" s="2">
        <f t="shared" si="0"/>
        <v>36</v>
      </c>
    </row>
    <row r="38" spans="1:3">
      <c r="A38" t="s">
        <v>38</v>
      </c>
      <c r="B38" s="2">
        <v>1932549</v>
      </c>
      <c r="C38" s="2">
        <f t="shared" si="0"/>
        <v>37</v>
      </c>
    </row>
    <row r="39" spans="1:3">
      <c r="A39" t="s">
        <v>39</v>
      </c>
      <c r="B39" s="2">
        <v>1803077</v>
      </c>
      <c r="C39" s="2">
        <f t="shared" si="0"/>
        <v>38</v>
      </c>
    </row>
    <row r="40" spans="1:3">
      <c r="A40" t="s">
        <v>40</v>
      </c>
      <c r="B40" s="2">
        <v>1753860</v>
      </c>
      <c r="C40" s="2">
        <f t="shared" si="0"/>
        <v>39</v>
      </c>
    </row>
    <row r="41" spans="1:3">
      <c r="A41" t="s">
        <v>41</v>
      </c>
      <c r="B41" s="2">
        <v>1426393</v>
      </c>
      <c r="C41" s="2">
        <f t="shared" si="0"/>
        <v>40</v>
      </c>
    </row>
    <row r="42" spans="1:3">
      <c r="A42" t="s">
        <v>42</v>
      </c>
      <c r="B42" s="2">
        <v>1350575</v>
      </c>
      <c r="C42" s="2">
        <f t="shared" si="0"/>
        <v>41</v>
      </c>
    </row>
    <row r="43" spans="1:3">
      <c r="A43" t="s">
        <v>43</v>
      </c>
      <c r="B43" s="2">
        <v>1341582</v>
      </c>
      <c r="C43" s="2">
        <f t="shared" si="0"/>
        <v>42</v>
      </c>
    </row>
    <row r="44" spans="1:3">
      <c r="A44" t="s">
        <v>44</v>
      </c>
      <c r="B44" s="2">
        <v>1062330</v>
      </c>
      <c r="C44" s="2">
        <f t="shared" si="0"/>
        <v>43</v>
      </c>
    </row>
    <row r="45" spans="1:3">
      <c r="A45" t="s">
        <v>45</v>
      </c>
      <c r="B45" s="2">
        <v>1061712</v>
      </c>
      <c r="C45" s="2">
        <f t="shared" si="0"/>
        <v>44</v>
      </c>
    </row>
    <row r="46" spans="1:3">
      <c r="A46" t="s">
        <v>46</v>
      </c>
      <c r="B46" s="2">
        <v>971180</v>
      </c>
      <c r="C46" s="2">
        <f t="shared" si="0"/>
        <v>45</v>
      </c>
    </row>
    <row r="47" spans="1:3">
      <c r="A47" t="s">
        <v>47</v>
      </c>
      <c r="B47" s="2">
        <v>877790</v>
      </c>
      <c r="C47" s="2">
        <f t="shared" si="0"/>
        <v>46</v>
      </c>
    </row>
    <row r="48" spans="1:3">
      <c r="A48" t="s">
        <v>48</v>
      </c>
      <c r="B48" s="2">
        <v>755238</v>
      </c>
      <c r="C48" s="2">
        <f t="shared" si="0"/>
        <v>47</v>
      </c>
    </row>
    <row r="49" spans="1:3">
      <c r="A49" t="s">
        <v>49</v>
      </c>
      <c r="B49" s="2">
        <v>738068</v>
      </c>
      <c r="C49" s="2">
        <f t="shared" si="0"/>
        <v>48</v>
      </c>
    </row>
    <row r="50" spans="1:3">
      <c r="A50" t="s">
        <v>50</v>
      </c>
      <c r="B50" s="2">
        <v>703608</v>
      </c>
      <c r="C50" s="2">
        <f t="shared" si="0"/>
        <v>49</v>
      </c>
    </row>
    <row r="51" spans="1:3">
      <c r="A51" t="s">
        <v>51</v>
      </c>
      <c r="B51" s="2">
        <v>623960</v>
      </c>
      <c r="C51" s="2">
        <f t="shared" si="0"/>
        <v>50</v>
      </c>
    </row>
    <row r="52" spans="1:3">
      <c r="A52" t="s">
        <v>52</v>
      </c>
      <c r="B52" s="2">
        <v>573720</v>
      </c>
      <c r="C52" s="2">
        <f t="shared" si="0"/>
        <v>51</v>
      </c>
    </row>
  </sheetData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40"/>
  <sheetViews>
    <sheetView showGridLines="0" zoomScale="75" zoomScaleNormal="90" workbookViewId="0">
      <selection activeCell="A25" sqref="A25:O25"/>
    </sheetView>
  </sheetViews>
  <sheetFormatPr baseColWidth="10" defaultRowHeight="16"/>
  <cols>
    <col min="1" max="15" width="3.6640625" style="31" customWidth="1"/>
    <col min="17" max="17" width="18" customWidth="1"/>
    <col min="18" max="18" width="14.6640625" customWidth="1"/>
  </cols>
  <sheetData>
    <row r="1" spans="1:18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1"/>
    </row>
    <row r="2" spans="1:18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4"/>
    </row>
    <row r="3" spans="1:18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4"/>
      <c r="Q3" s="8" t="s">
        <v>61</v>
      </c>
      <c r="R3" s="32">
        <f>E9</f>
        <v>0</v>
      </c>
    </row>
    <row r="4" spans="1:18" ht="22" customHeight="1">
      <c r="A4" s="15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7"/>
      <c r="Q4" s="8" t="s">
        <v>57</v>
      </c>
      <c r="R4" s="32">
        <f ca="1">A35</f>
        <v>971180</v>
      </c>
    </row>
    <row r="5" spans="1:18" ht="14" customHeight="1">
      <c r="A5" s="161" t="s">
        <v>56</v>
      </c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3"/>
      <c r="Q5" s="8" t="s">
        <v>58</v>
      </c>
      <c r="R5" s="34">
        <f ca="1">ABS(R3-R4)</f>
        <v>971180</v>
      </c>
    </row>
    <row r="6" spans="1:18" ht="37" customHeight="1">
      <c r="A6" s="158" t="str">
        <f ca="1">'State Populations'!E4</f>
        <v>Delaware</v>
      </c>
      <c r="B6" s="159"/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60"/>
      <c r="Q6" s="8" t="s">
        <v>59</v>
      </c>
      <c r="R6" s="33">
        <f ca="1">IF(R3&gt;R4,R5/R3,R5/R4)</f>
        <v>1</v>
      </c>
    </row>
    <row r="7" spans="1:18" ht="21" customHeight="1">
      <c r="A7" s="15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7"/>
      <c r="Q7" s="44" t="s">
        <v>62</v>
      </c>
      <c r="R7" s="8">
        <f ca="1">ROUND((100-(R6*100)),0)</f>
        <v>0</v>
      </c>
    </row>
    <row r="8" spans="1:18" ht="19" customHeight="1" thickBot="1">
      <c r="A8" s="15"/>
      <c r="B8" s="16"/>
      <c r="C8" s="16"/>
      <c r="D8" s="16"/>
      <c r="E8" s="182" t="s">
        <v>64</v>
      </c>
      <c r="F8" s="182"/>
      <c r="G8" s="182"/>
      <c r="H8" s="182"/>
      <c r="I8" s="182"/>
      <c r="J8" s="182"/>
      <c r="K8" s="182"/>
      <c r="L8" s="16"/>
      <c r="M8" s="16"/>
      <c r="N8" s="16"/>
      <c r="O8" s="17"/>
      <c r="Q8" s="8"/>
      <c r="R8" s="8"/>
    </row>
    <row r="9" spans="1:18" s="42" customFormat="1" ht="27" customHeight="1" thickBot="1">
      <c r="A9" s="38"/>
      <c r="B9" s="39"/>
      <c r="C9" s="39"/>
      <c r="D9" s="39"/>
      <c r="E9" s="179"/>
      <c r="F9" s="180"/>
      <c r="G9" s="180"/>
      <c r="H9" s="180"/>
      <c r="I9" s="180"/>
      <c r="J9" s="180"/>
      <c r="K9" s="181"/>
      <c r="L9" s="40"/>
      <c r="M9" s="40"/>
      <c r="N9" s="40"/>
      <c r="O9" s="41"/>
      <c r="Q9" s="45" t="s">
        <v>63</v>
      </c>
      <c r="R9" s="45">
        <v>1</v>
      </c>
    </row>
    <row r="10" spans="1:18">
      <c r="A10" s="36"/>
      <c r="B10" s="37"/>
      <c r="C10" s="37"/>
      <c r="D10" s="37"/>
      <c r="E10" s="37"/>
      <c r="F10" s="16"/>
      <c r="G10" s="16"/>
      <c r="H10" s="16"/>
      <c r="I10" s="16"/>
      <c r="J10" s="16"/>
      <c r="K10" s="16"/>
      <c r="L10" s="16"/>
      <c r="M10" s="16"/>
      <c r="N10" s="16"/>
      <c r="O10" s="17"/>
    </row>
    <row r="11" spans="1:18">
      <c r="A11" s="36"/>
      <c r="B11" s="37"/>
      <c r="C11" s="37"/>
      <c r="D11" s="37"/>
      <c r="E11" s="37"/>
      <c r="F11" s="16"/>
      <c r="G11" s="164"/>
      <c r="H11" s="164"/>
      <c r="I11" s="164"/>
      <c r="J11" s="16"/>
      <c r="K11" s="16"/>
      <c r="L11" s="16"/>
      <c r="M11" s="16"/>
      <c r="N11" s="16"/>
      <c r="O11" s="17"/>
      <c r="Q11" t="s">
        <v>65</v>
      </c>
      <c r="R11">
        <v>1</v>
      </c>
    </row>
    <row r="12" spans="1:18">
      <c r="A12" s="36"/>
      <c r="B12" s="37"/>
      <c r="C12" s="37"/>
      <c r="D12" s="37"/>
      <c r="E12" s="37"/>
      <c r="F12" s="16"/>
      <c r="G12" s="164"/>
      <c r="H12" s="164"/>
      <c r="I12" s="164"/>
      <c r="J12" s="16"/>
      <c r="K12" s="16"/>
      <c r="L12" s="16"/>
      <c r="M12" s="16"/>
      <c r="N12" s="16"/>
      <c r="O12" s="17"/>
    </row>
    <row r="13" spans="1:18" ht="9" customHeight="1">
      <c r="A13" s="36"/>
      <c r="B13" s="37"/>
      <c r="C13" s="37"/>
      <c r="D13" s="37"/>
      <c r="E13" s="37"/>
      <c r="F13" s="16"/>
      <c r="G13" s="16"/>
      <c r="H13" s="16"/>
      <c r="I13" s="16"/>
      <c r="J13" s="16"/>
      <c r="K13" s="16"/>
      <c r="L13" s="16"/>
      <c r="M13" s="16"/>
      <c r="N13" s="16"/>
      <c r="O13" s="17"/>
    </row>
    <row r="14" spans="1:18" ht="9" customHeight="1">
      <c r="A14" s="36"/>
      <c r="B14" s="37"/>
      <c r="C14" s="37"/>
      <c r="D14" s="37"/>
      <c r="E14" s="37"/>
      <c r="F14" s="16"/>
      <c r="G14" s="16"/>
      <c r="H14" s="16"/>
      <c r="I14" s="16"/>
      <c r="J14" s="16"/>
      <c r="K14" s="16"/>
      <c r="L14" s="16"/>
      <c r="M14" s="16"/>
      <c r="N14" s="16"/>
      <c r="O14" s="17"/>
    </row>
    <row r="15" spans="1:18" ht="25" customHeight="1">
      <c r="A15" s="168" t="str">
        <f ca="1">CONCATENATE("The population of ", 'State Populations'!E4, " is")</f>
        <v>The population of Delaware is</v>
      </c>
      <c r="B15" s="169"/>
      <c r="C15" s="169"/>
      <c r="D15" s="169"/>
      <c r="E15" s="169"/>
      <c r="F15" s="170"/>
      <c r="G15" s="170"/>
      <c r="H15" s="170"/>
      <c r="I15" s="170"/>
      <c r="J15" s="170"/>
      <c r="K15" s="170"/>
      <c r="L15" s="170"/>
      <c r="M15" s="170"/>
      <c r="N15" s="170"/>
      <c r="O15" s="171"/>
    </row>
    <row r="16" spans="1:18" s="6" customFormat="1" ht="41" customHeight="1">
      <c r="A16" s="172">
        <f ca="1">A35</f>
        <v>971180</v>
      </c>
      <c r="B16" s="173"/>
      <c r="C16" s="173"/>
      <c r="D16" s="173"/>
      <c r="E16" s="173"/>
      <c r="F16" s="174"/>
      <c r="G16" s="174"/>
      <c r="H16" s="174"/>
      <c r="I16" s="174"/>
      <c r="J16" s="174"/>
      <c r="K16" s="174"/>
      <c r="L16" s="174"/>
      <c r="M16" s="174"/>
      <c r="N16" s="174"/>
      <c r="O16" s="175"/>
    </row>
    <row r="17" spans="1:15" ht="5" customHeight="1">
      <c r="A17" s="172"/>
      <c r="B17" s="173"/>
      <c r="C17" s="173"/>
      <c r="D17" s="173"/>
      <c r="E17" s="173"/>
      <c r="F17" s="174"/>
      <c r="G17" s="174"/>
      <c r="H17" s="174"/>
      <c r="I17" s="174"/>
      <c r="J17" s="174"/>
      <c r="K17" s="174"/>
      <c r="L17" s="174"/>
      <c r="M17" s="174"/>
      <c r="N17" s="174"/>
      <c r="O17" s="175"/>
    </row>
    <row r="18" spans="1:15" s="7" customFormat="1" ht="31" customHeight="1">
      <c r="A18" s="150" t="str">
        <f>CONCATENATE("You guessed ",E9, ".")</f>
        <v>You guessed .</v>
      </c>
      <c r="B18" s="151"/>
      <c r="C18" s="151"/>
      <c r="D18" s="151"/>
      <c r="E18" s="151"/>
      <c r="F18" s="152"/>
      <c r="G18" s="152"/>
      <c r="H18" s="152"/>
      <c r="I18" s="152"/>
      <c r="J18" s="152"/>
      <c r="K18" s="152"/>
      <c r="L18" s="152"/>
      <c r="M18" s="152"/>
      <c r="N18" s="152"/>
      <c r="O18" s="153"/>
    </row>
    <row r="19" spans="1:15" s="7" customFormat="1" ht="31" customHeight="1">
      <c r="A19" s="151" t="str">
        <f ca="1">CONCATENATE("That's off by ", R5, " - ", ROUND(R6*100, 0), "%.")</f>
        <v>That's off by 971180 - 100%.</v>
      </c>
      <c r="B19" s="151"/>
      <c r="C19" s="151"/>
      <c r="D19" s="151"/>
      <c r="E19" s="151"/>
      <c r="F19" s="152"/>
      <c r="G19" s="152"/>
      <c r="H19" s="152"/>
      <c r="I19" s="152"/>
      <c r="J19" s="152"/>
      <c r="K19" s="152"/>
      <c r="L19" s="152"/>
      <c r="M19" s="152"/>
      <c r="N19" s="152"/>
      <c r="O19" s="153"/>
    </row>
    <row r="20" spans="1:15" s="7" customFormat="1" ht="10" customHeight="1">
      <c r="A20" s="150"/>
      <c r="B20" s="151"/>
      <c r="C20" s="151"/>
      <c r="D20" s="151"/>
      <c r="E20" s="151"/>
      <c r="F20" s="152"/>
      <c r="G20" s="152"/>
      <c r="H20" s="152"/>
      <c r="I20" s="152"/>
      <c r="J20" s="152"/>
      <c r="K20" s="152"/>
      <c r="L20" s="152"/>
      <c r="M20" s="152"/>
      <c r="N20" s="152"/>
      <c r="O20" s="153"/>
    </row>
    <row r="21" spans="1:15" s="7" customFormat="1" ht="32" customHeight="1">
      <c r="A21" s="150" t="str">
        <f ca="1">CONCATENATE("You are awarded ",R7," points.")</f>
        <v>You are awarded 0 points.</v>
      </c>
      <c r="B21" s="151"/>
      <c r="C21" s="151"/>
      <c r="D21" s="151"/>
      <c r="E21" s="151"/>
      <c r="F21" s="152"/>
      <c r="G21" s="152"/>
      <c r="H21" s="152"/>
      <c r="I21" s="152"/>
      <c r="J21" s="152"/>
      <c r="K21" s="152"/>
      <c r="L21" s="152"/>
      <c r="M21" s="152"/>
      <c r="N21" s="152"/>
      <c r="O21" s="153"/>
    </row>
    <row r="22" spans="1:15" s="7" customFormat="1" ht="44" customHeight="1">
      <c r="A22" s="154" t="str">
        <f>CONCATENATE("Your score is now ", R9, ".")</f>
        <v>Your score is now 1.</v>
      </c>
      <c r="B22" s="155"/>
      <c r="C22" s="155"/>
      <c r="D22" s="155"/>
      <c r="E22" s="155"/>
      <c r="F22" s="156"/>
      <c r="G22" s="156"/>
      <c r="H22" s="156"/>
      <c r="I22" s="156"/>
      <c r="J22" s="156"/>
      <c r="K22" s="156"/>
      <c r="L22" s="156"/>
      <c r="M22" s="156"/>
      <c r="N22" s="156"/>
      <c r="O22" s="157"/>
    </row>
    <row r="23" spans="1:15" ht="21" customHeight="1" thickBot="1">
      <c r="A23" s="43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9"/>
    </row>
    <row r="24" spans="1:15" ht="6" customHeight="1" thickBot="1">
      <c r="A24" s="20"/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3"/>
      <c r="M24" s="23"/>
      <c r="N24" s="24"/>
      <c r="O24" s="25"/>
    </row>
    <row r="25" spans="1:15">
      <c r="A25" s="176" t="s">
        <v>109</v>
      </c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8"/>
    </row>
    <row r="26" spans="1:15">
      <c r="A26" s="2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7"/>
    </row>
    <row r="27" spans="1:15" ht="18">
      <c r="A27" s="165"/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7"/>
    </row>
    <row r="28" spans="1:15">
      <c r="A28" s="27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7"/>
    </row>
    <row r="29" spans="1:1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</row>
    <row r="30" spans="1:15">
      <c r="A30" s="15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7"/>
    </row>
    <row r="31" spans="1:15">
      <c r="A31" s="15"/>
      <c r="B31" s="16"/>
      <c r="C31" s="149"/>
      <c r="D31" s="149"/>
      <c r="E31" s="149"/>
      <c r="F31" s="149"/>
      <c r="G31" s="149"/>
      <c r="H31" s="149"/>
      <c r="I31" s="149"/>
      <c r="J31" s="149"/>
      <c r="K31" s="149"/>
      <c r="L31" s="149"/>
      <c r="M31" s="149"/>
      <c r="N31" s="16"/>
      <c r="O31" s="17"/>
    </row>
    <row r="32" spans="1:15">
      <c r="A32" s="15"/>
      <c r="B32" s="16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6"/>
      <c r="O32" s="17"/>
    </row>
    <row r="33" spans="1:15">
      <c r="A33" s="15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7"/>
    </row>
    <row r="34" spans="1:15">
      <c r="A34" s="15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7"/>
    </row>
    <row r="35" spans="1:15">
      <c r="A35" s="46">
        <f ca="1">'State Populations'!E5</f>
        <v>971180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7"/>
    </row>
    <row r="36" spans="1:15" ht="17" thickBot="1">
      <c r="A36" s="28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30"/>
    </row>
    <row r="37" spans="1:1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</row>
    <row r="38" spans="1:1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</row>
    <row r="39" spans="1:1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</row>
    <row r="40" spans="1:1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</row>
  </sheetData>
  <mergeCells count="15">
    <mergeCell ref="A6:O6"/>
    <mergeCell ref="A5:O5"/>
    <mergeCell ref="G11:I12"/>
    <mergeCell ref="A27:O27"/>
    <mergeCell ref="A15:O15"/>
    <mergeCell ref="A16:O17"/>
    <mergeCell ref="A25:O25"/>
    <mergeCell ref="E9:K9"/>
    <mergeCell ref="E8:K8"/>
    <mergeCell ref="C31:M32"/>
    <mergeCell ref="A18:O18"/>
    <mergeCell ref="A19:O19"/>
    <mergeCell ref="A20:O20"/>
    <mergeCell ref="A21:O21"/>
    <mergeCell ref="A22:O2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Submit">
                <anchor moveWithCells="1" sizeWithCells="1">
                  <from>
                    <xdr:col>4</xdr:col>
                    <xdr:colOff>203200</xdr:colOff>
                    <xdr:row>9</xdr:row>
                    <xdr:rowOff>190500</xdr:rowOff>
                  </from>
                  <to>
                    <xdr:col>10</xdr:col>
                    <xdr:colOff>50800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nextbutton">
                <anchor moveWithCells="1" sizeWithCells="1">
                  <from>
                    <xdr:col>5</xdr:col>
                    <xdr:colOff>25400</xdr:colOff>
                    <xdr:row>30</xdr:row>
                    <xdr:rowOff>12700</xdr:rowOff>
                  </from>
                  <to>
                    <xdr:col>10</xdr:col>
                    <xdr:colOff>152400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startgame">
                <anchor moveWithCells="1" sizeWithCells="1">
                  <from>
                    <xdr:col>6</xdr:col>
                    <xdr:colOff>12700</xdr:colOff>
                    <xdr:row>33</xdr:row>
                    <xdr:rowOff>152400</xdr:rowOff>
                  </from>
                  <to>
                    <xdr:col>9</xdr:col>
                    <xdr:colOff>165100</xdr:colOff>
                    <xdr:row>35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54"/>
  <sheetViews>
    <sheetView workbookViewId="0"/>
  </sheetViews>
  <sheetFormatPr baseColWidth="10" defaultRowHeight="16"/>
  <cols>
    <col min="1" max="1" width="14.33203125" bestFit="1" customWidth="1"/>
    <col min="2" max="2" width="11.1640625" style="59" bestFit="1" customWidth="1"/>
    <col min="3" max="3" width="12.6640625" style="97" bestFit="1" customWidth="1"/>
    <col min="4" max="4" width="17" style="48" bestFit="1" customWidth="1"/>
    <col min="5" max="5" width="14.6640625" style="2" bestFit="1" customWidth="1"/>
    <col min="6" max="6" width="13.6640625" style="1" bestFit="1" customWidth="1"/>
    <col min="7" max="7" width="14.33203125" style="112" bestFit="1" customWidth="1"/>
    <col min="8" max="8" width="17.33203125" style="107" bestFit="1" customWidth="1"/>
    <col min="9" max="9" width="14" style="48" bestFit="1" customWidth="1"/>
    <col min="10" max="10" width="12.1640625" style="47" customWidth="1"/>
    <col min="11" max="11" width="9.6640625" style="2" bestFit="1" customWidth="1"/>
    <col min="12" max="12" width="10.83203125" style="49"/>
    <col min="13" max="13" width="13.1640625" style="49" customWidth="1"/>
    <col min="14" max="15" width="10.83203125" style="48"/>
    <col min="16" max="16" width="9.5" style="48" bestFit="1" customWidth="1"/>
  </cols>
  <sheetData>
    <row r="1" spans="1:18" s="3" customFormat="1" ht="17" thickBot="1">
      <c r="A1" s="3" t="s">
        <v>73</v>
      </c>
      <c r="B1" s="62" t="s">
        <v>66</v>
      </c>
      <c r="C1" s="115" t="s">
        <v>97</v>
      </c>
      <c r="D1" s="64" t="s">
        <v>74</v>
      </c>
      <c r="E1" s="109" t="s">
        <v>67</v>
      </c>
      <c r="F1" s="110" t="s">
        <v>68</v>
      </c>
      <c r="G1" s="118" t="s">
        <v>75</v>
      </c>
      <c r="H1" s="108" t="s">
        <v>96</v>
      </c>
      <c r="I1" s="64" t="s">
        <v>76</v>
      </c>
      <c r="J1" s="66" t="s">
        <v>69</v>
      </c>
      <c r="K1" s="67" t="s">
        <v>95</v>
      </c>
      <c r="L1" s="125" t="s">
        <v>93</v>
      </c>
      <c r="M1" s="126" t="s">
        <v>107</v>
      </c>
      <c r="N1" s="121" t="s">
        <v>70</v>
      </c>
      <c r="O1" s="122" t="s">
        <v>108</v>
      </c>
      <c r="P1" s="129" t="s">
        <v>94</v>
      </c>
      <c r="Q1" s="130" t="s">
        <v>71</v>
      </c>
      <c r="R1" s="131" t="s">
        <v>106</v>
      </c>
    </row>
    <row r="2" spans="1:18" s="5" customFormat="1">
      <c r="A2" s="70" t="s">
        <v>77</v>
      </c>
      <c r="B2" s="100">
        <f ca="1">RANDBETWEEN(1,50000000)</f>
        <v>7207088</v>
      </c>
      <c r="C2" s="94">
        <f ca="1">RANK(B2,B$2:B$20)</f>
        <v>17</v>
      </c>
      <c r="D2" s="72">
        <f ca="1">B2/B$21</f>
        <v>1.5990990341845989E-2</v>
      </c>
      <c r="E2" s="71">
        <f ca="1">(RAND())*B2</f>
        <v>498958.48053872125</v>
      </c>
      <c r="F2" s="71">
        <f ca="1">(RANDBETWEEN(0,10)/100)*E2</f>
        <v>0</v>
      </c>
      <c r="G2" s="119">
        <f ca="1">Q2*F2</f>
        <v>0</v>
      </c>
      <c r="H2" s="94">
        <f ca="1">RANK(G2,G$2:G$20)</f>
        <v>19</v>
      </c>
      <c r="I2" s="72">
        <f ca="1">G2/G$21</f>
        <v>0</v>
      </c>
      <c r="J2" s="73">
        <f ca="1">G2/B2*1000</f>
        <v>0</v>
      </c>
      <c r="K2" s="74">
        <f ca="1">RANK(J2,J$2:J$20)</f>
        <v>19</v>
      </c>
      <c r="L2" s="127">
        <f ca="1">E2/B2</f>
        <v>6.9231634265978337E-2</v>
      </c>
      <c r="M2" s="74">
        <f ca="1">RANK(L2,L$2:L$20)</f>
        <v>18</v>
      </c>
      <c r="N2" s="123">
        <f t="shared" ref="N2:N21" ca="1" si="0">F2/E2</f>
        <v>0</v>
      </c>
      <c r="O2" s="74">
        <f ca="1">RANK(N2,N$2:N$20)</f>
        <v>19</v>
      </c>
      <c r="P2" s="117">
        <f ca="1">N2*L2</f>
        <v>0</v>
      </c>
      <c r="Q2" s="103">
        <f ca="1">RANDBETWEEN(0,80)/100</f>
        <v>0.23</v>
      </c>
      <c r="R2" s="113">
        <f ca="1">RANK(Q2,Q$2:Q$20)</f>
        <v>15</v>
      </c>
    </row>
    <row r="3" spans="1:18" s="5" customFormat="1">
      <c r="A3" s="75" t="s">
        <v>104</v>
      </c>
      <c r="B3" s="101">
        <f t="shared" ref="B3:B20" ca="1" si="1">RANDBETWEEN(1,50000000)</f>
        <v>13478551</v>
      </c>
      <c r="C3" s="95">
        <f t="shared" ref="C3:C20" ca="1" si="2">RANK(B3,B$2:B$20)</f>
        <v>15</v>
      </c>
      <c r="D3" s="65">
        <f t="shared" ref="D3:D20" ca="1" si="3">B3/B$21</f>
        <v>2.9906028462962933E-2</v>
      </c>
      <c r="E3" s="63">
        <f t="shared" ref="E3:E20" ca="1" si="4">(RAND())*B3</f>
        <v>1300881.1322168966</v>
      </c>
      <c r="F3" s="63">
        <f t="shared" ref="F3:F20" ca="1" si="5">(RANDBETWEEN(0,100)/100)*E3</f>
        <v>806546.30197447585</v>
      </c>
      <c r="G3" s="120">
        <f t="shared" ref="G3:G20" ca="1" si="6">Q3*F3</f>
        <v>540386.02232289885</v>
      </c>
      <c r="H3" s="95">
        <f t="shared" ref="H3:H20" ca="1" si="7">RANK(G3,G$2:G$20)</f>
        <v>15</v>
      </c>
      <c r="I3" s="65">
        <f t="shared" ref="I3:I20" ca="1" si="8">G3/G$21</f>
        <v>1.2260184103834768E-2</v>
      </c>
      <c r="J3" s="68">
        <f t="shared" ref="J3:J20" ca="1" si="9">G3/B3*1000</f>
        <v>40.09229347597519</v>
      </c>
      <c r="K3" s="69">
        <f t="shared" ref="K3:K21" ca="1" si="10">RANK(J3,J$2:J$20)</f>
        <v>13</v>
      </c>
      <c r="L3" s="128">
        <f t="shared" ref="L3:L21" ca="1" si="11">E3/B3</f>
        <v>9.6514909667730353E-2</v>
      </c>
      <c r="M3" s="69">
        <f t="shared" ref="M3:M20" ca="1" si="12">RANK(L3,L$2:L$20)</f>
        <v>16</v>
      </c>
      <c r="N3" s="124">
        <f t="shared" ca="1" si="0"/>
        <v>0.62</v>
      </c>
      <c r="O3" s="69">
        <f t="shared" ref="O3:O20" ca="1" si="13">RANK(N3,N$2:N$20)</f>
        <v>9</v>
      </c>
      <c r="P3" s="116">
        <f t="shared" ref="P3:P21" ca="1" si="14">N3*L3</f>
        <v>5.9839243993992819E-2</v>
      </c>
      <c r="Q3" s="104">
        <f t="shared" ref="Q3:Q20" ca="1" si="15">RANDBETWEEN(0,80)/100</f>
        <v>0.67</v>
      </c>
      <c r="R3" s="114">
        <f t="shared" ref="R3:R20" ca="1" si="16">RANK(Q3,Q$2:Q$20)</f>
        <v>6</v>
      </c>
    </row>
    <row r="4" spans="1:18" s="5" customFormat="1">
      <c r="A4" s="75" t="s">
        <v>78</v>
      </c>
      <c r="B4" s="101">
        <f t="shared" ca="1" si="1"/>
        <v>41172096</v>
      </c>
      <c r="C4" s="95">
        <f t="shared" ca="1" si="2"/>
        <v>4</v>
      </c>
      <c r="D4" s="65">
        <f t="shared" ca="1" si="3"/>
        <v>9.1352095255331403E-2</v>
      </c>
      <c r="E4" s="63">
        <f t="shared" ca="1" si="4"/>
        <v>18997313.90423036</v>
      </c>
      <c r="F4" s="63">
        <f t="shared" ca="1" si="5"/>
        <v>14627931.706257377</v>
      </c>
      <c r="G4" s="120">
        <f t="shared" ca="1" si="6"/>
        <v>10532110.828505311</v>
      </c>
      <c r="H4" s="95">
        <f t="shared" ca="1" si="7"/>
        <v>1</v>
      </c>
      <c r="I4" s="65">
        <f t="shared" ca="1" si="8"/>
        <v>0.2389506989918217</v>
      </c>
      <c r="J4" s="68">
        <f t="shared" ca="1" si="9"/>
        <v>255.8070113434427</v>
      </c>
      <c r="K4" s="69">
        <f t="shared" ca="1" si="10"/>
        <v>3</v>
      </c>
      <c r="L4" s="128">
        <f t="shared" ca="1" si="11"/>
        <v>0.46141235812309289</v>
      </c>
      <c r="M4" s="69">
        <f t="shared" ca="1" si="12"/>
        <v>10</v>
      </c>
      <c r="N4" s="124">
        <f t="shared" ca="1" si="0"/>
        <v>0.77</v>
      </c>
      <c r="O4" s="69">
        <f t="shared" ca="1" si="13"/>
        <v>6</v>
      </c>
      <c r="P4" s="116">
        <f t="shared" ca="1" si="14"/>
        <v>0.35528751575478151</v>
      </c>
      <c r="Q4" s="104">
        <f t="shared" ca="1" si="15"/>
        <v>0.72</v>
      </c>
      <c r="R4" s="114">
        <f t="shared" ca="1" si="16"/>
        <v>4</v>
      </c>
    </row>
    <row r="5" spans="1:18" s="5" customFormat="1">
      <c r="A5" s="75" t="s">
        <v>79</v>
      </c>
      <c r="B5" s="101">
        <f t="shared" ca="1" si="1"/>
        <v>29504235</v>
      </c>
      <c r="C5" s="95">
        <f t="shared" ca="1" si="2"/>
        <v>6</v>
      </c>
      <c r="D5" s="65">
        <f t="shared" ca="1" si="3"/>
        <v>6.5463601516806011E-2</v>
      </c>
      <c r="E5" s="63">
        <f t="shared" ca="1" si="4"/>
        <v>23752963.048212193</v>
      </c>
      <c r="F5" s="63">
        <f t="shared" ca="1" si="5"/>
        <v>13776718.567963071</v>
      </c>
      <c r="G5" s="120">
        <f t="shared" ca="1" si="6"/>
        <v>2204274.9708740916</v>
      </c>
      <c r="H5" s="95">
        <f t="shared" ca="1" si="7"/>
        <v>8</v>
      </c>
      <c r="I5" s="65">
        <f t="shared" ca="1" si="8"/>
        <v>5.0010207225980291E-2</v>
      </c>
      <c r="J5" s="68">
        <f t="shared" ca="1" si="9"/>
        <v>74.710460070362501</v>
      </c>
      <c r="K5" s="69">
        <f t="shared" ca="1" si="10"/>
        <v>9</v>
      </c>
      <c r="L5" s="128">
        <f t="shared" ca="1" si="11"/>
        <v>0.80506961282718204</v>
      </c>
      <c r="M5" s="69">
        <f t="shared" ca="1" si="12"/>
        <v>3</v>
      </c>
      <c r="N5" s="124">
        <f t="shared" ca="1" si="0"/>
        <v>0.57999999999999996</v>
      </c>
      <c r="O5" s="69">
        <f t="shared" ca="1" si="13"/>
        <v>10</v>
      </c>
      <c r="P5" s="116">
        <f t="shared" ca="1" si="14"/>
        <v>0.46694037543976558</v>
      </c>
      <c r="Q5" s="104">
        <f t="shared" ca="1" si="15"/>
        <v>0.16</v>
      </c>
      <c r="R5" s="114">
        <f t="shared" ca="1" si="16"/>
        <v>16</v>
      </c>
    </row>
    <row r="6" spans="1:18" s="5" customFormat="1">
      <c r="A6" s="75" t="s">
        <v>80</v>
      </c>
      <c r="B6" s="101">
        <f t="shared" ca="1" si="1"/>
        <v>26262778</v>
      </c>
      <c r="C6" s="95">
        <f t="shared" ca="1" si="2"/>
        <v>7</v>
      </c>
      <c r="D6" s="65">
        <f t="shared" ca="1" si="3"/>
        <v>5.8271500132653482E-2</v>
      </c>
      <c r="E6" s="63">
        <f t="shared" ca="1" si="4"/>
        <v>14726507.98086388</v>
      </c>
      <c r="F6" s="63">
        <f t="shared" ca="1" si="5"/>
        <v>5007012.7134937197</v>
      </c>
      <c r="G6" s="120">
        <f t="shared" ca="1" si="6"/>
        <v>3905469.9165251013</v>
      </c>
      <c r="H6" s="95">
        <f t="shared" ca="1" si="7"/>
        <v>5</v>
      </c>
      <c r="I6" s="65">
        <f t="shared" ca="1" si="8"/>
        <v>8.86066223229863E-2</v>
      </c>
      <c r="J6" s="68">
        <f t="shared" ca="1" si="9"/>
        <v>148.70741840505605</v>
      </c>
      <c r="K6" s="69">
        <f t="shared" ca="1" si="10"/>
        <v>7</v>
      </c>
      <c r="L6" s="128">
        <f t="shared" ca="1" si="11"/>
        <v>0.56073687181393683</v>
      </c>
      <c r="M6" s="69">
        <f t="shared" ca="1" si="12"/>
        <v>8</v>
      </c>
      <c r="N6" s="124">
        <f t="shared" ca="1" si="0"/>
        <v>0.34</v>
      </c>
      <c r="O6" s="69">
        <f t="shared" ca="1" si="13"/>
        <v>15</v>
      </c>
      <c r="P6" s="116">
        <f t="shared" ca="1" si="14"/>
        <v>0.19065053641673854</v>
      </c>
      <c r="Q6" s="104">
        <f t="shared" ca="1" si="15"/>
        <v>0.78</v>
      </c>
      <c r="R6" s="114">
        <f t="shared" ca="1" si="16"/>
        <v>1</v>
      </c>
    </row>
    <row r="7" spans="1:18" s="5" customFormat="1">
      <c r="A7" s="75" t="s">
        <v>81</v>
      </c>
      <c r="B7" s="101">
        <f t="shared" ca="1" si="1"/>
        <v>14583494</v>
      </c>
      <c r="C7" s="95">
        <f t="shared" ca="1" si="2"/>
        <v>13</v>
      </c>
      <c r="D7" s="65">
        <f t="shared" ca="1" si="3"/>
        <v>3.2357661194697351E-2</v>
      </c>
      <c r="E7" s="63">
        <f t="shared" ca="1" si="4"/>
        <v>1669058.2242921242</v>
      </c>
      <c r="F7" s="63">
        <f t="shared" ca="1" si="5"/>
        <v>1351937.1616766206</v>
      </c>
      <c r="G7" s="120">
        <f t="shared" ca="1" si="6"/>
        <v>730046.06730537512</v>
      </c>
      <c r="H7" s="95">
        <f t="shared" ca="1" si="7"/>
        <v>12</v>
      </c>
      <c r="I7" s="65">
        <f t="shared" ca="1" si="8"/>
        <v>1.6563158223393541E-2</v>
      </c>
      <c r="J7" s="68">
        <f t="shared" ca="1" si="9"/>
        <v>50.05975024266305</v>
      </c>
      <c r="K7" s="69">
        <f t="shared" ca="1" si="10"/>
        <v>11</v>
      </c>
      <c r="L7" s="128">
        <f t="shared" ca="1" si="11"/>
        <v>0.11444844591372438</v>
      </c>
      <c r="M7" s="69">
        <f t="shared" ca="1" si="12"/>
        <v>15</v>
      </c>
      <c r="N7" s="124">
        <f t="shared" ca="1" si="0"/>
        <v>0.81</v>
      </c>
      <c r="O7" s="69">
        <f t="shared" ca="1" si="13"/>
        <v>4</v>
      </c>
      <c r="P7" s="116">
        <f t="shared" ca="1" si="14"/>
        <v>9.2703241190116761E-2</v>
      </c>
      <c r="Q7" s="104">
        <f t="shared" ca="1" si="15"/>
        <v>0.54</v>
      </c>
      <c r="R7" s="114">
        <f t="shared" ca="1" si="16"/>
        <v>10</v>
      </c>
    </row>
    <row r="8" spans="1:18" s="5" customFormat="1">
      <c r="A8" s="75" t="s">
        <v>82</v>
      </c>
      <c r="B8" s="101">
        <f t="shared" ca="1" si="1"/>
        <v>14204527</v>
      </c>
      <c r="C8" s="95">
        <f t="shared" ca="1" si="2"/>
        <v>14</v>
      </c>
      <c r="D8" s="65">
        <f t="shared" ca="1" si="3"/>
        <v>3.1516814289972675E-2</v>
      </c>
      <c r="E8" s="63">
        <f t="shared" ca="1" si="4"/>
        <v>11202888.524011338</v>
      </c>
      <c r="F8" s="63">
        <f t="shared" ca="1" si="5"/>
        <v>10642744.097810771</v>
      </c>
      <c r="G8" s="120">
        <f t="shared" ca="1" si="6"/>
        <v>5853509.2537959246</v>
      </c>
      <c r="H8" s="95">
        <f t="shared" ca="1" si="7"/>
        <v>2</v>
      </c>
      <c r="I8" s="65">
        <f t="shared" ca="1" si="8"/>
        <v>0.13280340005196589</v>
      </c>
      <c r="J8" s="68">
        <f t="shared" ca="1" si="9"/>
        <v>412.08758685142595</v>
      </c>
      <c r="K8" s="69">
        <f t="shared" ca="1" si="10"/>
        <v>2</v>
      </c>
      <c r="L8" s="128">
        <f t="shared" ca="1" si="11"/>
        <v>0.78868437674914049</v>
      </c>
      <c r="M8" s="69">
        <f t="shared" ca="1" si="12"/>
        <v>4</v>
      </c>
      <c r="N8" s="124">
        <f t="shared" ca="1" si="0"/>
        <v>0.95</v>
      </c>
      <c r="O8" s="69">
        <f t="shared" ca="1" si="13"/>
        <v>1</v>
      </c>
      <c r="P8" s="116">
        <f t="shared" ca="1" si="14"/>
        <v>0.74925015791168348</v>
      </c>
      <c r="Q8" s="104">
        <f t="shared" ca="1" si="15"/>
        <v>0.55000000000000004</v>
      </c>
      <c r="R8" s="114">
        <f t="shared" ca="1" si="16"/>
        <v>9</v>
      </c>
    </row>
    <row r="9" spans="1:18" s="5" customFormat="1">
      <c r="A9" s="75" t="s">
        <v>105</v>
      </c>
      <c r="B9" s="101">
        <f t="shared" ca="1" si="1"/>
        <v>36673200</v>
      </c>
      <c r="C9" s="95">
        <f t="shared" ca="1" si="2"/>
        <v>5</v>
      </c>
      <c r="D9" s="65">
        <f t="shared" ca="1" si="3"/>
        <v>8.1370005056770001E-2</v>
      </c>
      <c r="E9" s="63">
        <f t="shared" ca="1" si="4"/>
        <v>29744680.318896603</v>
      </c>
      <c r="F9" s="63">
        <f t="shared" ca="1" si="5"/>
        <v>9815744.5052358788</v>
      </c>
      <c r="G9" s="120">
        <f t="shared" ca="1" si="6"/>
        <v>588944.67031415273</v>
      </c>
      <c r="H9" s="95">
        <f t="shared" ca="1" si="7"/>
        <v>14</v>
      </c>
      <c r="I9" s="65">
        <f t="shared" ca="1" si="8"/>
        <v>1.3361874265336289E-2</v>
      </c>
      <c r="J9" s="68">
        <f t="shared" ca="1" si="9"/>
        <v>16.059265903006903</v>
      </c>
      <c r="K9" s="69">
        <f t="shared" ca="1" si="10"/>
        <v>15</v>
      </c>
      <c r="L9" s="128">
        <f t="shared" ca="1" si="11"/>
        <v>0.81107403550539914</v>
      </c>
      <c r="M9" s="69">
        <f t="shared" ca="1" si="12"/>
        <v>2</v>
      </c>
      <c r="N9" s="124">
        <f t="shared" ca="1" si="0"/>
        <v>0.33</v>
      </c>
      <c r="O9" s="69">
        <f t="shared" ca="1" si="13"/>
        <v>16</v>
      </c>
      <c r="P9" s="116">
        <f t="shared" ca="1" si="14"/>
        <v>0.26765443171678172</v>
      </c>
      <c r="Q9" s="104">
        <f t="shared" ca="1" si="15"/>
        <v>0.06</v>
      </c>
      <c r="R9" s="114">
        <f t="shared" ca="1" si="16"/>
        <v>19</v>
      </c>
    </row>
    <row r="10" spans="1:18" s="5" customFormat="1">
      <c r="A10" s="75" t="s">
        <v>83</v>
      </c>
      <c r="B10" s="101">
        <f t="shared" ca="1" si="1"/>
        <v>24019550</v>
      </c>
      <c r="C10" s="95">
        <f t="shared" ca="1" si="2"/>
        <v>9</v>
      </c>
      <c r="D10" s="65">
        <f t="shared" ca="1" si="3"/>
        <v>5.3294255886078654E-2</v>
      </c>
      <c r="E10" s="63">
        <f t="shared" ca="1" si="4"/>
        <v>520129.80085486668</v>
      </c>
      <c r="F10" s="63">
        <f t="shared" ca="1" si="5"/>
        <v>52012.98008548667</v>
      </c>
      <c r="G10" s="120">
        <f t="shared" ca="1" si="6"/>
        <v>12483.1152205168</v>
      </c>
      <c r="H10" s="95">
        <f t="shared" ca="1" si="7"/>
        <v>18</v>
      </c>
      <c r="I10" s="65">
        <f t="shared" ca="1" si="8"/>
        <v>2.8321474736714821E-4</v>
      </c>
      <c r="J10" s="68">
        <f t="shared" ca="1" si="9"/>
        <v>0.51970645663706438</v>
      </c>
      <c r="K10" s="69">
        <f t="shared" ca="1" si="10"/>
        <v>18</v>
      </c>
      <c r="L10" s="128">
        <f ca="1">E10/B10</f>
        <v>2.1654435693211016E-2</v>
      </c>
      <c r="M10" s="69">
        <f t="shared" ca="1" si="12"/>
        <v>19</v>
      </c>
      <c r="N10" s="124">
        <f t="shared" ca="1" si="0"/>
        <v>0.1</v>
      </c>
      <c r="O10" s="69">
        <f t="shared" ca="1" si="13"/>
        <v>17</v>
      </c>
      <c r="P10" s="116">
        <f t="shared" ca="1" si="14"/>
        <v>2.1654435693211015E-3</v>
      </c>
      <c r="Q10" s="104">
        <f t="shared" ca="1" si="15"/>
        <v>0.24</v>
      </c>
      <c r="R10" s="114">
        <f t="shared" ca="1" si="16"/>
        <v>13</v>
      </c>
    </row>
    <row r="11" spans="1:18" s="5" customFormat="1">
      <c r="A11" s="75" t="s">
        <v>84</v>
      </c>
      <c r="B11" s="101">
        <f t="shared" ca="1" si="1"/>
        <v>19710288</v>
      </c>
      <c r="C11" s="95">
        <f t="shared" ca="1" si="2"/>
        <v>11</v>
      </c>
      <c r="D11" s="65">
        <f t="shared" ca="1" si="3"/>
        <v>4.3732923067264187E-2</v>
      </c>
      <c r="E11" s="63">
        <f t="shared" ca="1" si="4"/>
        <v>1757925.1367148529</v>
      </c>
      <c r="F11" s="63">
        <f t="shared" ca="1" si="5"/>
        <v>1634870.3771448133</v>
      </c>
      <c r="G11" s="120">
        <f t="shared" ca="1" si="6"/>
        <v>179835.74148592947</v>
      </c>
      <c r="H11" s="95">
        <f t="shared" ca="1" si="7"/>
        <v>16</v>
      </c>
      <c r="I11" s="65">
        <f t="shared" ca="1" si="8"/>
        <v>4.0800820302300074E-3</v>
      </c>
      <c r="J11" s="68">
        <f t="shared" ca="1" si="9"/>
        <v>9.1239530079889981</v>
      </c>
      <c r="K11" s="69">
        <f t="shared" ca="1" si="10"/>
        <v>16</v>
      </c>
      <c r="L11" s="128">
        <f t="shared" ca="1" si="11"/>
        <v>8.9188201446617765E-2</v>
      </c>
      <c r="M11" s="69">
        <f t="shared" ca="1" si="12"/>
        <v>17</v>
      </c>
      <c r="N11" s="124">
        <f t="shared" ca="1" si="0"/>
        <v>0.93</v>
      </c>
      <c r="O11" s="69">
        <f t="shared" ca="1" si="13"/>
        <v>2</v>
      </c>
      <c r="P11" s="116">
        <f t="shared" ca="1" si="14"/>
        <v>8.2945027345354527E-2</v>
      </c>
      <c r="Q11" s="104">
        <f t="shared" ca="1" si="15"/>
        <v>0.11</v>
      </c>
      <c r="R11" s="114">
        <f t="shared" ca="1" si="16"/>
        <v>17</v>
      </c>
    </row>
    <row r="12" spans="1:18" s="5" customFormat="1">
      <c r="A12" s="75" t="s">
        <v>85</v>
      </c>
      <c r="B12" s="101">
        <f t="shared" ca="1" si="1"/>
        <v>24898081</v>
      </c>
      <c r="C12" s="95">
        <f t="shared" ca="1" si="2"/>
        <v>8</v>
      </c>
      <c r="D12" s="65">
        <f t="shared" ca="1" si="3"/>
        <v>5.5243528704172776E-2</v>
      </c>
      <c r="E12" s="63">
        <f t="shared" ca="1" si="4"/>
        <v>12753309.351191841</v>
      </c>
      <c r="F12" s="63">
        <f t="shared" ca="1" si="5"/>
        <v>10967846.042024983</v>
      </c>
      <c r="G12" s="120">
        <f t="shared" ca="1" si="6"/>
        <v>767749.22294174891</v>
      </c>
      <c r="H12" s="95">
        <f t="shared" ca="1" si="7"/>
        <v>11</v>
      </c>
      <c r="I12" s="65">
        <f t="shared" ca="1" si="8"/>
        <v>1.74185608620674E-2</v>
      </c>
      <c r="J12" s="68">
        <f t="shared" ca="1" si="9"/>
        <v>30.835678578672344</v>
      </c>
      <c r="K12" s="69">
        <f t="shared" ca="1" si="10"/>
        <v>14</v>
      </c>
      <c r="L12" s="128">
        <f t="shared" ca="1" si="11"/>
        <v>0.51222057439655055</v>
      </c>
      <c r="M12" s="69">
        <f t="shared" ca="1" si="12"/>
        <v>9</v>
      </c>
      <c r="N12" s="124">
        <f t="shared" ca="1" si="0"/>
        <v>0.86</v>
      </c>
      <c r="O12" s="69">
        <f t="shared" ca="1" si="13"/>
        <v>3</v>
      </c>
      <c r="P12" s="116">
        <f t="shared" ca="1" si="14"/>
        <v>0.44050969398103346</v>
      </c>
      <c r="Q12" s="104">
        <f t="shared" ca="1" si="15"/>
        <v>7.0000000000000007E-2</v>
      </c>
      <c r="R12" s="114">
        <f t="shared" ca="1" si="16"/>
        <v>18</v>
      </c>
    </row>
    <row r="13" spans="1:18" s="5" customFormat="1">
      <c r="A13" s="75" t="s">
        <v>86</v>
      </c>
      <c r="B13" s="101">
        <f t="shared" ca="1" si="1"/>
        <v>20092642</v>
      </c>
      <c r="C13" s="95">
        <f t="shared" ca="1" si="2"/>
        <v>10</v>
      </c>
      <c r="D13" s="65">
        <f t="shared" ca="1" si="3"/>
        <v>4.45812850022324E-2</v>
      </c>
      <c r="E13" s="63">
        <f t="shared" ca="1" si="4"/>
        <v>15663180.089677703</v>
      </c>
      <c r="F13" s="63">
        <f t="shared" ca="1" si="5"/>
        <v>5638744.8322839728</v>
      </c>
      <c r="G13" s="120">
        <f t="shared" ca="1" si="6"/>
        <v>4398220.9691814985</v>
      </c>
      <c r="H13" s="95">
        <f t="shared" ca="1" si="7"/>
        <v>4</v>
      </c>
      <c r="I13" s="65">
        <f t="shared" ca="1" si="8"/>
        <v>9.9786072518528154E-2</v>
      </c>
      <c r="J13" s="68">
        <f t="shared" ca="1" si="9"/>
        <v>218.89709522428652</v>
      </c>
      <c r="K13" s="69">
        <f t="shared" ca="1" si="10"/>
        <v>4</v>
      </c>
      <c r="L13" s="128">
        <f t="shared" ca="1" si="11"/>
        <v>0.77954805991555032</v>
      </c>
      <c r="M13" s="69">
        <f t="shared" ca="1" si="12"/>
        <v>5</v>
      </c>
      <c r="N13" s="124">
        <f t="shared" ca="1" si="0"/>
        <v>0.36</v>
      </c>
      <c r="O13" s="69">
        <f t="shared" ca="1" si="13"/>
        <v>14</v>
      </c>
      <c r="P13" s="116">
        <f t="shared" ca="1" si="14"/>
        <v>0.2806373015695981</v>
      </c>
      <c r="Q13" s="104">
        <f t="shared" ca="1" si="15"/>
        <v>0.78</v>
      </c>
      <c r="R13" s="114">
        <f t="shared" ca="1" si="16"/>
        <v>1</v>
      </c>
    </row>
    <row r="14" spans="1:18" s="5" customFormat="1">
      <c r="A14" s="75" t="s">
        <v>87</v>
      </c>
      <c r="B14" s="101">
        <f t="shared" ca="1" si="1"/>
        <v>45606528</v>
      </c>
      <c r="C14" s="95">
        <f t="shared" ca="1" si="2"/>
        <v>3</v>
      </c>
      <c r="D14" s="65">
        <f t="shared" ca="1" si="3"/>
        <v>0.10119115359395205</v>
      </c>
      <c r="E14" s="63">
        <f t="shared" ca="1" si="4"/>
        <v>13441788.078220746</v>
      </c>
      <c r="F14" s="63">
        <f t="shared" ca="1" si="5"/>
        <v>9678087.4163189363</v>
      </c>
      <c r="G14" s="120">
        <f t="shared" ca="1" si="6"/>
        <v>2419521.8540797341</v>
      </c>
      <c r="H14" s="95">
        <f t="shared" ca="1" si="7"/>
        <v>7</v>
      </c>
      <c r="I14" s="65">
        <f t="shared" ca="1" si="8"/>
        <v>5.4893691081713568E-2</v>
      </c>
      <c r="J14" s="68">
        <f t="shared" ca="1" si="9"/>
        <v>53.052094956224998</v>
      </c>
      <c r="K14" s="69">
        <f t="shared" ca="1" si="10"/>
        <v>10</v>
      </c>
      <c r="L14" s="128">
        <f t="shared" ca="1" si="11"/>
        <v>0.29473386086791664</v>
      </c>
      <c r="M14" s="69">
        <f t="shared" ca="1" si="12"/>
        <v>12</v>
      </c>
      <c r="N14" s="124">
        <f t="shared" ca="1" si="0"/>
        <v>0.72</v>
      </c>
      <c r="O14" s="69">
        <f t="shared" ca="1" si="13"/>
        <v>7</v>
      </c>
      <c r="P14" s="116">
        <f t="shared" ca="1" si="14"/>
        <v>0.21220837982489998</v>
      </c>
      <c r="Q14" s="104">
        <f t="shared" ca="1" si="15"/>
        <v>0.25</v>
      </c>
      <c r="R14" s="114">
        <f t="shared" ca="1" si="16"/>
        <v>12</v>
      </c>
    </row>
    <row r="15" spans="1:18" s="5" customFormat="1">
      <c r="A15" s="75" t="s">
        <v>88</v>
      </c>
      <c r="B15" s="101">
        <f t="shared" ca="1" si="1"/>
        <v>13007846</v>
      </c>
      <c r="C15" s="95">
        <f t="shared" ca="1" si="2"/>
        <v>16</v>
      </c>
      <c r="D15" s="65">
        <f t="shared" ca="1" si="3"/>
        <v>2.8861634512332857E-2</v>
      </c>
      <c r="E15" s="63">
        <f t="shared" ca="1" si="4"/>
        <v>2594972.4418202904</v>
      </c>
      <c r="F15" s="63">
        <f t="shared" ca="1" si="5"/>
        <v>1012039.2523099133</v>
      </c>
      <c r="G15" s="120">
        <f t="shared" ca="1" si="6"/>
        <v>597103.15886284877</v>
      </c>
      <c r="H15" s="95">
        <f t="shared" ca="1" si="7"/>
        <v>13</v>
      </c>
      <c r="I15" s="65">
        <f t="shared" ca="1" si="8"/>
        <v>1.3546972634805723E-2</v>
      </c>
      <c r="J15" s="68">
        <f t="shared" ca="1" si="9"/>
        <v>45.9033078084449</v>
      </c>
      <c r="K15" s="69">
        <f t="shared" ca="1" si="10"/>
        <v>12</v>
      </c>
      <c r="L15" s="128">
        <f t="shared" ca="1" si="11"/>
        <v>0.19949286313969972</v>
      </c>
      <c r="M15" s="69">
        <f t="shared" ca="1" si="12"/>
        <v>13</v>
      </c>
      <c r="N15" s="124">
        <f t="shared" ca="1" si="0"/>
        <v>0.39</v>
      </c>
      <c r="O15" s="69">
        <f t="shared" ca="1" si="13"/>
        <v>12</v>
      </c>
      <c r="P15" s="116">
        <f t="shared" ca="1" si="14"/>
        <v>7.7802216624482889E-2</v>
      </c>
      <c r="Q15" s="104">
        <f t="shared" ca="1" si="15"/>
        <v>0.59</v>
      </c>
      <c r="R15" s="114">
        <f t="shared" ca="1" si="16"/>
        <v>7</v>
      </c>
    </row>
    <row r="16" spans="1:18" s="5" customFormat="1">
      <c r="A16" s="75" t="s">
        <v>89</v>
      </c>
      <c r="B16" s="101">
        <f t="shared" ca="1" si="1"/>
        <v>45788232</v>
      </c>
      <c r="C16" s="95">
        <f t="shared" ca="1" si="2"/>
        <v>2</v>
      </c>
      <c r="D16" s="65">
        <f t="shared" ca="1" si="3"/>
        <v>0.1015943159958923</v>
      </c>
      <c r="E16" s="63">
        <f t="shared" ca="1" si="4"/>
        <v>6795935.558796512</v>
      </c>
      <c r="F16" s="63">
        <f t="shared" ca="1" si="5"/>
        <v>679593.55587965122</v>
      </c>
      <c r="G16" s="120">
        <f t="shared" ca="1" si="6"/>
        <v>163102.45341111629</v>
      </c>
      <c r="H16" s="95">
        <f t="shared" ca="1" si="7"/>
        <v>17</v>
      </c>
      <c r="I16" s="65">
        <f t="shared" ca="1" si="8"/>
        <v>3.7004401002299629E-3</v>
      </c>
      <c r="J16" s="68">
        <f t="shared" ca="1" si="9"/>
        <v>3.5621041976706218</v>
      </c>
      <c r="K16" s="69">
        <f t="shared" ca="1" si="10"/>
        <v>17</v>
      </c>
      <c r="L16" s="128">
        <f ca="1">E16/B16</f>
        <v>0.14842100823627591</v>
      </c>
      <c r="M16" s="69">
        <f t="shared" ca="1" si="12"/>
        <v>14</v>
      </c>
      <c r="N16" s="124">
        <f t="shared" ca="1" si="0"/>
        <v>0.1</v>
      </c>
      <c r="O16" s="69">
        <f t="shared" ca="1" si="13"/>
        <v>17</v>
      </c>
      <c r="P16" s="116">
        <f t="shared" ca="1" si="14"/>
        <v>1.4842100823627592E-2</v>
      </c>
      <c r="Q16" s="104">
        <f t="shared" ca="1" si="15"/>
        <v>0.24</v>
      </c>
      <c r="R16" s="114">
        <f t="shared" ca="1" si="16"/>
        <v>13</v>
      </c>
    </row>
    <row r="17" spans="1:18" s="5" customFormat="1">
      <c r="A17" s="75" t="s">
        <v>90</v>
      </c>
      <c r="B17" s="101">
        <f t="shared" ca="1" si="1"/>
        <v>48464109</v>
      </c>
      <c r="C17" s="95">
        <f t="shared" ca="1" si="2"/>
        <v>1</v>
      </c>
      <c r="D17" s="65">
        <f t="shared" ca="1" si="3"/>
        <v>0.10753151604991798</v>
      </c>
      <c r="E17" s="63">
        <f t="shared" ca="1" si="4"/>
        <v>20244011.077418748</v>
      </c>
      <c r="F17" s="63">
        <f t="shared" ca="1" si="5"/>
        <v>7490284.0986449365</v>
      </c>
      <c r="G17" s="120">
        <f t="shared" ca="1" si="6"/>
        <v>5542810.2329972526</v>
      </c>
      <c r="H17" s="95">
        <f t="shared" ca="1" si="7"/>
        <v>3</v>
      </c>
      <c r="I17" s="65">
        <f t="shared" ca="1" si="8"/>
        <v>0.12575431469720674</v>
      </c>
      <c r="J17" s="68">
        <f t="shared" ca="1" si="9"/>
        <v>114.36938277349229</v>
      </c>
      <c r="K17" s="69">
        <f t="shared" ca="1" si="10"/>
        <v>8</v>
      </c>
      <c r="L17" s="128">
        <f ca="1">E17/B17</f>
        <v>0.4177114053085913</v>
      </c>
      <c r="M17" s="69">
        <f t="shared" ca="1" si="12"/>
        <v>11</v>
      </c>
      <c r="N17" s="124">
        <f t="shared" ca="1" si="0"/>
        <v>0.37</v>
      </c>
      <c r="O17" s="69">
        <f t="shared" ca="1" si="13"/>
        <v>13</v>
      </c>
      <c r="P17" s="116">
        <f t="shared" ca="1" si="14"/>
        <v>0.15455321996417878</v>
      </c>
      <c r="Q17" s="104">
        <f t="shared" ca="1" si="15"/>
        <v>0.74</v>
      </c>
      <c r="R17" s="114">
        <f t="shared" ca="1" si="16"/>
        <v>3</v>
      </c>
    </row>
    <row r="18" spans="1:18" s="5" customFormat="1">
      <c r="A18" s="75" t="s">
        <v>103</v>
      </c>
      <c r="B18" s="101">
        <f t="shared" ca="1" si="1"/>
        <v>17138709</v>
      </c>
      <c r="C18" s="95">
        <f t="shared" ca="1" si="2"/>
        <v>12</v>
      </c>
      <c r="D18" s="65">
        <f t="shared" ca="1" si="3"/>
        <v>3.8027138018948699E-2</v>
      </c>
      <c r="E18" s="63">
        <f t="shared" ca="1" si="4"/>
        <v>11099246.517409649</v>
      </c>
      <c r="F18" s="63">
        <f t="shared" ca="1" si="5"/>
        <v>7325502.7014903687</v>
      </c>
      <c r="G18" s="120">
        <f t="shared" ca="1" si="6"/>
        <v>3003456.1076110508</v>
      </c>
      <c r="H18" s="95">
        <f t="shared" ca="1" si="7"/>
        <v>6</v>
      </c>
      <c r="I18" s="65">
        <f t="shared" ca="1" si="8"/>
        <v>6.8141889882369147E-2</v>
      </c>
      <c r="J18" s="68">
        <f t="shared" ca="1" si="9"/>
        <v>175.24401094686016</v>
      </c>
      <c r="K18" s="69">
        <f t="shared" ca="1" si="10"/>
        <v>5</v>
      </c>
      <c r="L18" s="128">
        <f t="shared" ca="1" si="11"/>
        <v>0.64761275294479004</v>
      </c>
      <c r="M18" s="69">
        <f t="shared" ca="1" si="12"/>
        <v>7</v>
      </c>
      <c r="N18" s="124">
        <f t="shared" ca="1" si="0"/>
        <v>0.66</v>
      </c>
      <c r="O18" s="69">
        <f t="shared" ca="1" si="13"/>
        <v>8</v>
      </c>
      <c r="P18" s="116">
        <f t="shared" ca="1" si="14"/>
        <v>0.42742441694356142</v>
      </c>
      <c r="Q18" s="104">
        <f t="shared" ca="1" si="15"/>
        <v>0.41</v>
      </c>
      <c r="R18" s="114">
        <f t="shared" ca="1" si="16"/>
        <v>11</v>
      </c>
    </row>
    <row r="19" spans="1:18" s="5" customFormat="1">
      <c r="A19" s="75" t="s">
        <v>91</v>
      </c>
      <c r="B19" s="101">
        <f t="shared" ca="1" si="1"/>
        <v>5171935</v>
      </c>
      <c r="C19" s="95">
        <f t="shared" ca="1" si="2"/>
        <v>18</v>
      </c>
      <c r="D19" s="65">
        <f t="shared" ca="1" si="3"/>
        <v>1.1475420118868431E-2</v>
      </c>
      <c r="E19" s="63">
        <f t="shared" ca="1" si="4"/>
        <v>3434126.049070383</v>
      </c>
      <c r="F19" s="63">
        <f t="shared" ca="1" si="5"/>
        <v>1476674.2011002647</v>
      </c>
      <c r="G19" s="120">
        <f t="shared" ca="1" si="6"/>
        <v>871237.7786491561</v>
      </c>
      <c r="H19" s="95">
        <f t="shared" ca="1" si="7"/>
        <v>10</v>
      </c>
      <c r="I19" s="65">
        <f t="shared" ca="1" si="8"/>
        <v>1.9766491217776391E-2</v>
      </c>
      <c r="J19" s="68">
        <f t="shared" ca="1" si="9"/>
        <v>168.45489718048583</v>
      </c>
      <c r="K19" s="69">
        <f t="shared" ca="1" si="10"/>
        <v>6</v>
      </c>
      <c r="L19" s="128">
        <f t="shared" ca="1" si="11"/>
        <v>0.66399249972599872</v>
      </c>
      <c r="M19" s="69">
        <f t="shared" ca="1" si="12"/>
        <v>6</v>
      </c>
      <c r="N19" s="124">
        <f t="shared" ca="1" si="0"/>
        <v>0.43</v>
      </c>
      <c r="O19" s="69">
        <f t="shared" ca="1" si="13"/>
        <v>11</v>
      </c>
      <c r="P19" s="116">
        <f t="shared" ca="1" si="14"/>
        <v>0.28551677488217947</v>
      </c>
      <c r="Q19" s="104">
        <f t="shared" ca="1" si="15"/>
        <v>0.59</v>
      </c>
      <c r="R19" s="114">
        <f t="shared" ca="1" si="16"/>
        <v>7</v>
      </c>
    </row>
    <row r="20" spans="1:18" s="5" customFormat="1" ht="17" thickBot="1">
      <c r="A20" s="75" t="s">
        <v>92</v>
      </c>
      <c r="B20" s="101">
        <f t="shared" ca="1" si="1"/>
        <v>3712900</v>
      </c>
      <c r="C20" s="95">
        <f t="shared" ca="1" si="2"/>
        <v>19</v>
      </c>
      <c r="D20" s="65">
        <f t="shared" ca="1" si="3"/>
        <v>8.2381327992997969E-3</v>
      </c>
      <c r="E20" s="63">
        <f t="shared" ca="1" si="4"/>
        <v>3246763.0095321415</v>
      </c>
      <c r="F20" s="63">
        <f t="shared" ca="1" si="5"/>
        <v>2597410.4076257134</v>
      </c>
      <c r="G20" s="120">
        <f t="shared" ca="1" si="6"/>
        <v>1766239.0771854853</v>
      </c>
      <c r="H20" s="95">
        <f t="shared" ca="1" si="7"/>
        <v>9</v>
      </c>
      <c r="I20" s="65">
        <f t="shared" ca="1" si="8"/>
        <v>4.0072125042386893E-2</v>
      </c>
      <c r="J20" s="68">
        <f t="shared" ca="1" si="9"/>
        <v>475.70337934915705</v>
      </c>
      <c r="K20" s="69">
        <f t="shared" ca="1" si="10"/>
        <v>1</v>
      </c>
      <c r="L20" s="128">
        <f t="shared" ca="1" si="11"/>
        <v>0.87445474145065627</v>
      </c>
      <c r="M20" s="69">
        <f t="shared" ca="1" si="12"/>
        <v>1</v>
      </c>
      <c r="N20" s="124">
        <f t="shared" ca="1" si="0"/>
        <v>0.8</v>
      </c>
      <c r="O20" s="69">
        <f t="shared" ca="1" si="13"/>
        <v>5</v>
      </c>
      <c r="P20" s="116">
        <f t="shared" ca="1" si="14"/>
        <v>0.69956379316052508</v>
      </c>
      <c r="Q20" s="104">
        <f t="shared" ca="1" si="15"/>
        <v>0.68</v>
      </c>
      <c r="R20" s="114">
        <f t="shared" ca="1" si="16"/>
        <v>5</v>
      </c>
    </row>
    <row r="21" spans="1:18" s="77" customFormat="1" ht="17" thickBot="1">
      <c r="A21" s="132" t="s">
        <v>72</v>
      </c>
      <c r="B21" s="133">
        <f ca="1">SUM(B2:B20)</f>
        <v>450696789</v>
      </c>
      <c r="C21" s="134"/>
      <c r="D21" s="76">
        <v>1</v>
      </c>
      <c r="E21" s="99">
        <f ca="1">SUM(E2:E20)</f>
        <v>193444638.72396988</v>
      </c>
      <c r="F21" s="98">
        <f ca="1">SUM(F2:F20)</f>
        <v>104581700.91932097</v>
      </c>
      <c r="G21" s="135">
        <f ca="1">SUM(G2:G20)</f>
        <v>44076501.441269197</v>
      </c>
      <c r="H21" s="105"/>
      <c r="I21" s="76">
        <v>1</v>
      </c>
      <c r="J21" s="136">
        <v>4.4218367603525914</v>
      </c>
      <c r="K21" s="137" t="e">
        <f t="shared" ca="1" si="10"/>
        <v>#N/A</v>
      </c>
      <c r="L21" s="138">
        <f t="shared" ca="1" si="11"/>
        <v>0.42921237391813294</v>
      </c>
      <c r="M21" s="139"/>
      <c r="N21" s="140">
        <f t="shared" ca="1" si="0"/>
        <v>0.54062858298466854</v>
      </c>
      <c r="O21" s="141"/>
      <c r="P21" s="142">
        <f t="shared" ca="1" si="14"/>
        <v>0.23204447751084592</v>
      </c>
      <c r="Q21" s="102">
        <f ca="1">G21/F21</f>
        <v>0.42145519774316725</v>
      </c>
      <c r="R21" s="143"/>
    </row>
    <row r="22" spans="1:18">
      <c r="A22" s="42"/>
      <c r="B22" s="60"/>
      <c r="C22" s="96"/>
      <c r="D22" s="58"/>
      <c r="E22" s="57"/>
      <c r="F22" s="61"/>
      <c r="G22" s="111"/>
      <c r="H22" s="106"/>
      <c r="I22" s="58"/>
      <c r="J22" s="56"/>
      <c r="K22" s="57"/>
      <c r="L22" s="55"/>
      <c r="M22" s="55"/>
      <c r="N22" s="58"/>
      <c r="O22" s="58"/>
    </row>
    <row r="23" spans="1:18">
      <c r="A23" s="35"/>
      <c r="B23" s="60"/>
      <c r="C23" s="96"/>
      <c r="D23" s="58"/>
      <c r="E23" s="57"/>
      <c r="F23" s="61"/>
      <c r="G23" s="111"/>
      <c r="H23" s="106"/>
      <c r="I23" s="58"/>
      <c r="J23" s="56"/>
      <c r="K23" s="57"/>
      <c r="L23" s="55"/>
      <c r="M23" s="55"/>
      <c r="N23" s="58"/>
      <c r="O23" s="58"/>
      <c r="Q23" s="48"/>
      <c r="R23" s="48"/>
    </row>
    <row r="24" spans="1:18">
      <c r="A24" s="35"/>
      <c r="B24" s="60"/>
      <c r="C24" s="96"/>
      <c r="D24" s="58"/>
      <c r="E24" s="57"/>
      <c r="F24" s="61"/>
      <c r="G24" s="111"/>
      <c r="H24" s="106"/>
      <c r="I24" s="58"/>
      <c r="J24" s="56"/>
      <c r="K24" s="57"/>
      <c r="L24" s="55"/>
      <c r="M24" s="55"/>
      <c r="N24" s="58"/>
      <c r="O24" s="58"/>
    </row>
    <row r="25" spans="1:18">
      <c r="A25" s="35"/>
      <c r="B25" s="60"/>
      <c r="C25" s="96"/>
      <c r="D25" s="58"/>
      <c r="E25" s="57"/>
      <c r="F25" s="61"/>
      <c r="G25" s="111"/>
      <c r="H25" s="106"/>
      <c r="I25" s="58"/>
      <c r="J25" s="56"/>
      <c r="K25" s="57"/>
      <c r="L25" s="55"/>
      <c r="M25" s="55"/>
      <c r="N25" s="58"/>
      <c r="O25" s="58"/>
    </row>
    <row r="26" spans="1:18">
      <c r="A26" s="35"/>
      <c r="B26" s="60"/>
      <c r="C26" s="96"/>
      <c r="D26" s="58"/>
      <c r="E26" s="57"/>
      <c r="F26" s="61"/>
      <c r="G26" s="111"/>
      <c r="H26" s="106"/>
      <c r="I26" s="58"/>
      <c r="J26" s="56"/>
      <c r="K26" s="57"/>
      <c r="L26" s="55"/>
      <c r="M26" s="55"/>
      <c r="N26" s="58"/>
      <c r="O26" s="58"/>
    </row>
    <row r="27" spans="1:18">
      <c r="A27" s="35"/>
      <c r="B27" s="60"/>
      <c r="C27" s="96"/>
      <c r="D27" s="58"/>
      <c r="E27" s="57"/>
      <c r="F27" s="61"/>
      <c r="G27" s="111"/>
      <c r="H27" s="106"/>
      <c r="I27" s="58"/>
      <c r="J27" s="56"/>
      <c r="K27" s="57"/>
      <c r="L27" s="55"/>
      <c r="M27" s="55"/>
      <c r="N27" s="58"/>
      <c r="O27" s="58"/>
    </row>
    <row r="28" spans="1:18">
      <c r="A28" s="35"/>
      <c r="B28" s="60"/>
      <c r="C28" s="96"/>
      <c r="D28" s="58"/>
      <c r="E28" s="57"/>
      <c r="F28" s="61"/>
      <c r="G28" s="111"/>
      <c r="H28" s="106"/>
      <c r="I28" s="58"/>
      <c r="J28" s="56"/>
      <c r="K28" s="57"/>
      <c r="L28" s="55"/>
      <c r="M28" s="55"/>
      <c r="N28" s="58"/>
      <c r="O28" s="58"/>
    </row>
    <row r="29" spans="1:18">
      <c r="A29" s="35"/>
      <c r="B29" s="60"/>
      <c r="C29" s="96"/>
      <c r="D29" s="58"/>
      <c r="E29" s="57"/>
      <c r="F29" s="61"/>
      <c r="G29" s="111"/>
      <c r="H29" s="106"/>
      <c r="I29" s="58"/>
      <c r="J29" s="56"/>
      <c r="K29" s="57"/>
      <c r="L29" s="55"/>
      <c r="M29" s="55"/>
      <c r="N29" s="58"/>
      <c r="O29" s="58"/>
    </row>
    <row r="30" spans="1:18">
      <c r="A30" s="35"/>
      <c r="B30" s="60"/>
      <c r="C30" s="96"/>
      <c r="D30" s="58"/>
      <c r="E30" s="57"/>
      <c r="F30" s="61"/>
      <c r="G30" s="111"/>
      <c r="H30" s="106"/>
      <c r="I30" s="58"/>
      <c r="J30" s="56"/>
      <c r="K30" s="57"/>
      <c r="L30" s="55"/>
      <c r="M30" s="55"/>
      <c r="N30" s="58"/>
      <c r="O30" s="58"/>
    </row>
    <row r="31" spans="1:18">
      <c r="A31" s="42"/>
      <c r="B31" s="60"/>
      <c r="C31" s="96"/>
      <c r="D31" s="58"/>
      <c r="E31" s="57"/>
      <c r="F31" s="61"/>
      <c r="G31" s="111"/>
      <c r="H31" s="106"/>
      <c r="I31" s="58"/>
      <c r="J31" s="56"/>
      <c r="K31" s="57"/>
      <c r="L31" s="55"/>
      <c r="M31" s="55"/>
      <c r="N31" s="58"/>
      <c r="O31" s="58"/>
    </row>
    <row r="32" spans="1:18">
      <c r="E32" s="57"/>
      <c r="F32" s="61"/>
      <c r="G32" s="111"/>
      <c r="H32" s="106"/>
      <c r="I32" s="58"/>
      <c r="J32" s="56"/>
      <c r="K32" s="57"/>
      <c r="L32" s="55"/>
      <c r="M32" s="55"/>
      <c r="N32" s="58"/>
      <c r="O32" s="58"/>
    </row>
    <row r="33" spans="1:15">
      <c r="E33" s="57"/>
      <c r="F33" s="61"/>
      <c r="G33" s="111"/>
      <c r="H33" s="106"/>
      <c r="I33" s="58"/>
      <c r="J33" s="56"/>
      <c r="K33" s="57"/>
      <c r="L33" s="55"/>
      <c r="M33" s="55"/>
      <c r="N33" s="58"/>
      <c r="O33" s="58"/>
    </row>
    <row r="34" spans="1:15">
      <c r="E34" s="57"/>
      <c r="F34" s="61"/>
      <c r="G34" s="111"/>
      <c r="H34" s="106"/>
      <c r="I34" s="58"/>
      <c r="J34" s="56"/>
      <c r="K34" s="57"/>
      <c r="L34" s="55"/>
      <c r="M34" s="55"/>
      <c r="N34" s="58"/>
      <c r="O34" s="58"/>
    </row>
    <row r="35" spans="1:15">
      <c r="E35" s="57"/>
      <c r="F35" s="61"/>
      <c r="G35" s="111"/>
      <c r="H35" s="106"/>
      <c r="I35" s="58"/>
      <c r="J35" s="56"/>
      <c r="K35" s="57"/>
      <c r="L35" s="55"/>
      <c r="M35" s="55"/>
      <c r="N35" s="58"/>
      <c r="O35" s="58"/>
    </row>
    <row r="36" spans="1:15">
      <c r="E36" s="57"/>
      <c r="F36" s="61"/>
      <c r="G36" s="111"/>
      <c r="H36" s="106"/>
      <c r="I36" s="58"/>
      <c r="J36" s="56"/>
      <c r="K36" s="57"/>
      <c r="L36" s="55"/>
      <c r="M36" s="55"/>
      <c r="N36" s="58"/>
      <c r="O36" s="58"/>
    </row>
    <row r="37" spans="1:15">
      <c r="A37" s="42"/>
      <c r="B37" s="60"/>
      <c r="C37" s="96"/>
      <c r="D37" s="58"/>
      <c r="E37" s="57"/>
      <c r="F37" s="61"/>
      <c r="G37" s="111"/>
      <c r="H37" s="106"/>
      <c r="I37" s="58"/>
      <c r="J37" s="56"/>
      <c r="K37" s="57"/>
      <c r="L37" s="55"/>
      <c r="M37" s="55"/>
      <c r="N37" s="58"/>
      <c r="O37" s="58"/>
    </row>
    <row r="38" spans="1:15">
      <c r="A38" s="42"/>
      <c r="B38" s="60"/>
      <c r="C38" s="96"/>
      <c r="D38" s="58"/>
      <c r="E38" s="57"/>
      <c r="F38" s="61"/>
      <c r="G38" s="111"/>
      <c r="H38" s="106"/>
      <c r="I38" s="58"/>
      <c r="J38" s="56"/>
      <c r="K38" s="57"/>
      <c r="L38" s="55"/>
      <c r="M38" s="55"/>
      <c r="N38" s="58"/>
      <c r="O38" s="58"/>
    </row>
    <row r="39" spans="1:15" ht="26">
      <c r="A39" s="145"/>
      <c r="B39" s="60"/>
      <c r="C39" s="96"/>
      <c r="D39" s="58"/>
      <c r="E39" s="57"/>
      <c r="F39" s="61"/>
      <c r="G39" s="146"/>
      <c r="H39" s="106"/>
      <c r="I39" s="58"/>
      <c r="J39" s="56"/>
      <c r="K39" s="57"/>
      <c r="L39" s="55"/>
      <c r="M39" s="55"/>
      <c r="N39" s="58"/>
      <c r="O39" s="58"/>
    </row>
    <row r="40" spans="1:15">
      <c r="A40" s="144"/>
      <c r="B40" s="60"/>
      <c r="C40" s="148"/>
      <c r="D40" s="58"/>
      <c r="G40" s="144"/>
      <c r="J40" s="56"/>
      <c r="K40" s="57"/>
    </row>
    <row r="41" spans="1:15">
      <c r="A41" s="144"/>
      <c r="C41" s="60"/>
    </row>
    <row r="42" spans="1:15">
      <c r="A42" s="144"/>
      <c r="C42" s="60"/>
    </row>
    <row r="43" spans="1:15">
      <c r="A43" s="144"/>
      <c r="C43" s="60"/>
    </row>
    <row r="44" spans="1:15">
      <c r="A44" s="144"/>
      <c r="C44" s="60"/>
    </row>
    <row r="45" spans="1:15">
      <c r="A45" s="144"/>
      <c r="C45" s="60"/>
    </row>
    <row r="46" spans="1:15">
      <c r="A46" s="144"/>
      <c r="C46" s="60"/>
    </row>
    <row r="47" spans="1:15">
      <c r="A47" s="144"/>
      <c r="C47" s="60"/>
    </row>
    <row r="48" spans="1:15">
      <c r="A48" s="144"/>
      <c r="C48" s="59"/>
    </row>
    <row r="49" spans="1:3">
      <c r="A49" s="144"/>
      <c r="C49" s="59"/>
    </row>
    <row r="50" spans="1:3">
      <c r="A50" s="144"/>
      <c r="C50" s="59"/>
    </row>
    <row r="51" spans="1:3">
      <c r="A51" s="144"/>
      <c r="C51" s="59"/>
    </row>
    <row r="52" spans="1:3">
      <c r="A52" s="144"/>
      <c r="C52" s="147"/>
    </row>
    <row r="53" spans="1:3">
      <c r="A53" s="144"/>
      <c r="C53" s="147"/>
    </row>
    <row r="54" spans="1:3">
      <c r="A54" s="144"/>
    </row>
  </sheetData>
  <pageMargins left="0.7" right="0.7" top="0.75" bottom="0.75" header="0.3" footer="0.3"/>
  <pageSetup orientation="portrait" horizontalDpi="0" verticalDpi="0"/>
  <ignoredErrors>
    <ignoredError sqref="L2 L3:L20 N2:N20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43"/>
  <sheetViews>
    <sheetView showGridLines="0" zoomScale="75" zoomScaleNormal="90" workbookViewId="0"/>
  </sheetViews>
  <sheetFormatPr baseColWidth="10" defaultRowHeight="16"/>
  <cols>
    <col min="1" max="1" width="10.6640625" style="31" customWidth="1"/>
    <col min="2" max="15" width="3.6640625" style="31" customWidth="1"/>
    <col min="17" max="17" width="25.5" bestFit="1" customWidth="1"/>
    <col min="18" max="18" width="24.6640625" bestFit="1" customWidth="1"/>
    <col min="21" max="21" width="18" bestFit="1" customWidth="1"/>
  </cols>
  <sheetData>
    <row r="1" spans="1:23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1"/>
      <c r="U1" s="5"/>
      <c r="V1" s="5"/>
      <c r="W1" s="5"/>
    </row>
    <row r="2" spans="1:23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4"/>
      <c r="U2" s="5"/>
      <c r="V2" s="5"/>
      <c r="W2" s="5"/>
    </row>
    <row r="3" spans="1:23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4"/>
      <c r="Q3" s="8" t="s">
        <v>61</v>
      </c>
      <c r="R3" s="32">
        <f>E12</f>
        <v>40000000</v>
      </c>
      <c r="U3" s="5"/>
      <c r="V3" s="5"/>
      <c r="W3" s="5"/>
    </row>
    <row r="4" spans="1:23" ht="22" customHeight="1">
      <c r="A4" s="15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7"/>
      <c r="Q4" s="8" t="s">
        <v>57</v>
      </c>
      <c r="R4" s="32">
        <f ca="1">A38</f>
        <v>971180</v>
      </c>
      <c r="U4" s="201"/>
      <c r="V4" s="50"/>
      <c r="W4" s="5"/>
    </row>
    <row r="5" spans="1:23" ht="14" customHeight="1">
      <c r="A5" s="161" t="str">
        <f>Traffic!A1</f>
        <v>Market</v>
      </c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3"/>
      <c r="Q5" s="8" t="s">
        <v>58</v>
      </c>
      <c r="R5" s="34">
        <f ca="1">ABS(R3-R4)</f>
        <v>39028820</v>
      </c>
      <c r="U5" s="202"/>
      <c r="V5" s="51"/>
      <c r="W5" s="5"/>
    </row>
    <row r="6" spans="1:23" ht="37" customHeight="1">
      <c r="A6" s="197" t="str">
        <f ca="1">R19</f>
        <v>Austria</v>
      </c>
      <c r="B6" s="186"/>
      <c r="C6" s="186"/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98"/>
      <c r="Q6" s="8" t="s">
        <v>59</v>
      </c>
      <c r="R6" s="33">
        <f ca="1">IF(R3&gt;R4,R5/R3,R5/R4)</f>
        <v>0.97572049999999999</v>
      </c>
      <c r="U6" s="202"/>
      <c r="V6" s="51"/>
      <c r="W6" s="5"/>
    </row>
    <row r="7" spans="1:23" ht="17" customHeight="1">
      <c r="A7" s="78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Q7" s="8"/>
      <c r="R7" s="33"/>
      <c r="U7" s="202"/>
      <c r="V7" s="51"/>
      <c r="W7" s="5"/>
    </row>
    <row r="8" spans="1:23" ht="33" customHeight="1">
      <c r="A8" s="183" t="s">
        <v>102</v>
      </c>
      <c r="B8" s="184"/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5"/>
      <c r="Q8" s="8"/>
      <c r="R8" s="33"/>
      <c r="U8" s="202"/>
      <c r="V8" s="51"/>
      <c r="W8" s="5"/>
    </row>
    <row r="9" spans="1:23" ht="37" customHeight="1">
      <c r="A9" s="86" t="str">
        <f ca="1">R21</f>
        <v>RPM</v>
      </c>
      <c r="B9" s="87"/>
      <c r="C9" s="87"/>
      <c r="D9" s="87"/>
      <c r="E9" s="186"/>
      <c r="F9" s="186"/>
      <c r="G9" s="186"/>
      <c r="H9" s="186"/>
      <c r="I9" s="186"/>
      <c r="J9" s="186"/>
      <c r="K9" s="186"/>
      <c r="L9" s="87"/>
      <c r="M9" s="87"/>
      <c r="N9" s="87"/>
      <c r="O9" s="88"/>
      <c r="Q9" s="8"/>
      <c r="R9" s="33">
        <v>0</v>
      </c>
      <c r="U9" s="202"/>
      <c r="V9" s="51"/>
      <c r="W9" s="5"/>
    </row>
    <row r="10" spans="1:23" ht="21" customHeight="1">
      <c r="A10" s="15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7"/>
      <c r="Q10" s="44" t="s">
        <v>62</v>
      </c>
      <c r="R10" s="8">
        <f ca="1">ROUND((100-(R6*100)),0)</f>
        <v>2</v>
      </c>
      <c r="U10" s="202"/>
      <c r="V10" s="51"/>
      <c r="W10" s="5"/>
    </row>
    <row r="11" spans="1:23" ht="19" customHeight="1" thickBot="1">
      <c r="A11" s="15"/>
      <c r="B11" s="16"/>
      <c r="C11" s="16"/>
      <c r="D11" s="16"/>
      <c r="E11" s="182" t="s">
        <v>64</v>
      </c>
      <c r="F11" s="182"/>
      <c r="G11" s="182"/>
      <c r="H11" s="182"/>
      <c r="I11" s="182"/>
      <c r="J11" s="182"/>
      <c r="K11" s="182"/>
      <c r="L11" s="16"/>
      <c r="M11" s="16"/>
      <c r="N11" s="16"/>
      <c r="O11" s="17"/>
      <c r="Q11" s="8"/>
      <c r="R11" s="8"/>
      <c r="U11" s="203"/>
      <c r="V11" s="52"/>
      <c r="W11" s="5"/>
    </row>
    <row r="12" spans="1:23" s="42" customFormat="1" ht="27" customHeight="1" thickBot="1">
      <c r="A12" s="38"/>
      <c r="B12" s="39"/>
      <c r="C12" s="39"/>
      <c r="D12" s="39"/>
      <c r="E12" s="179">
        <v>40000000</v>
      </c>
      <c r="F12" s="180"/>
      <c r="G12" s="180"/>
      <c r="H12" s="180"/>
      <c r="I12" s="180"/>
      <c r="J12" s="180"/>
      <c r="K12" s="181"/>
      <c r="L12" s="40"/>
      <c r="M12" s="40"/>
      <c r="N12" s="40"/>
      <c r="O12" s="41"/>
      <c r="Q12" s="45" t="s">
        <v>63</v>
      </c>
      <c r="R12" s="45">
        <v>1</v>
      </c>
      <c r="U12" s="201"/>
      <c r="V12" s="52"/>
      <c r="W12" s="35"/>
    </row>
    <row r="13" spans="1:23">
      <c r="A13" s="36"/>
      <c r="B13" s="37"/>
      <c r="C13" s="37"/>
      <c r="D13" s="37"/>
      <c r="E13" s="37"/>
      <c r="F13" s="16"/>
      <c r="G13" s="16"/>
      <c r="H13" s="16"/>
      <c r="I13" s="16"/>
      <c r="J13" s="16"/>
      <c r="K13" s="16"/>
      <c r="L13" s="16"/>
      <c r="M13" s="16"/>
      <c r="N13" s="16"/>
      <c r="O13" s="17"/>
      <c r="U13" s="201"/>
      <c r="V13" s="53"/>
      <c r="W13" s="5"/>
    </row>
    <row r="14" spans="1:23">
      <c r="A14" s="36"/>
      <c r="B14" s="37"/>
      <c r="C14" s="37"/>
      <c r="D14" s="37"/>
      <c r="E14" s="37"/>
      <c r="F14" s="16"/>
      <c r="G14" s="164"/>
      <c r="H14" s="164"/>
      <c r="I14" s="164"/>
      <c r="J14" s="16"/>
      <c r="K14" s="16"/>
      <c r="L14" s="16"/>
      <c r="M14" s="16"/>
      <c r="N14" s="16"/>
      <c r="O14" s="17"/>
      <c r="Q14" t="s">
        <v>65</v>
      </c>
      <c r="R14">
        <v>1</v>
      </c>
      <c r="U14" s="204"/>
      <c r="V14" s="54"/>
      <c r="W14" s="5"/>
    </row>
    <row r="15" spans="1:23">
      <c r="A15" s="211"/>
      <c r="B15" s="37"/>
      <c r="C15" s="37"/>
      <c r="D15" s="37"/>
      <c r="E15" s="37"/>
      <c r="F15" s="16"/>
      <c r="G15" s="164"/>
      <c r="H15" s="164"/>
      <c r="I15" s="164"/>
      <c r="J15" s="16"/>
      <c r="K15" s="16"/>
      <c r="L15" s="16"/>
      <c r="M15" s="16"/>
      <c r="N15" s="16"/>
      <c r="O15" s="17"/>
      <c r="U15" s="204"/>
      <c r="V15" s="52"/>
      <c r="W15" s="5"/>
    </row>
    <row r="16" spans="1:23" ht="16" customHeight="1">
      <c r="A16" s="211"/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2"/>
      <c r="U16" s="203"/>
      <c r="V16" s="50"/>
      <c r="W16" s="5"/>
    </row>
    <row r="17" spans="1:23" ht="18" customHeight="1">
      <c r="A17" s="36"/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2"/>
      <c r="U17" s="205"/>
      <c r="V17" s="5"/>
      <c r="W17" s="5"/>
    </row>
    <row r="18" spans="1:23" ht="44" customHeight="1">
      <c r="A18" s="212" t="str">
        <f ca="1">CONCATENATE("The ",R21," of ",R19," is ")</f>
        <v xml:space="preserve">The RPM of Austria is </v>
      </c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200"/>
      <c r="Q18" s="8" t="s">
        <v>100</v>
      </c>
      <c r="R18" s="89">
        <f ca="1">RANDBETWEEN(1,COUNTA(Traffic!A2:A20))</f>
        <v>2</v>
      </c>
      <c r="U18" s="206"/>
      <c r="V18" s="5"/>
      <c r="W18" s="5"/>
    </row>
    <row r="19" spans="1:23" s="6" customFormat="1" ht="41" customHeight="1">
      <c r="A19" s="213">
        <f ca="1">R22</f>
        <v>0</v>
      </c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8"/>
      <c r="Q19" s="90" t="s">
        <v>98</v>
      </c>
      <c r="R19" s="91" t="str">
        <f ca="1">INDEX(Traffic!A1:A20, 'Traffic app'!R18)</f>
        <v>Austria</v>
      </c>
      <c r="U19" s="207"/>
      <c r="V19" s="208"/>
      <c r="W19" s="208"/>
    </row>
    <row r="20" spans="1:23" ht="21" customHeight="1">
      <c r="A20" s="172"/>
      <c r="B20" s="187"/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8"/>
      <c r="Q20" s="8" t="s">
        <v>99</v>
      </c>
      <c r="R20" s="89">
        <f ca="1">RANDBETWEEN(1,COUNTA(Traffic!B1:P1))</f>
        <v>9</v>
      </c>
      <c r="U20" s="209"/>
      <c r="V20" s="5"/>
      <c r="W20" s="5"/>
    </row>
    <row r="21" spans="1:23" s="7" customFormat="1" ht="31" customHeight="1">
      <c r="A21" s="214" t="str">
        <f>CONCATENATE("You guessed ",E12, ".")</f>
        <v>You guessed 40000000.</v>
      </c>
      <c r="B21" s="189"/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90"/>
      <c r="Q21" s="92" t="s">
        <v>99</v>
      </c>
      <c r="R21" s="93" t="str">
        <f ca="1">INDEX(Traffic!B1:P1, 'Traffic app'!R20)</f>
        <v>RPM</v>
      </c>
      <c r="U21" s="203"/>
      <c r="V21" s="210"/>
      <c r="W21" s="210"/>
    </row>
    <row r="22" spans="1:23" s="7" customFormat="1" ht="31" customHeight="1">
      <c r="A22" s="215" t="str">
        <f ca="1">CONCATENATE("That's off by ", R5, " - ", ROUND(R6*100, 0), "%.")</f>
        <v>That's off by 39028820 - 98%.</v>
      </c>
      <c r="B22" s="189"/>
      <c r="C22" s="189"/>
      <c r="D22" s="189"/>
      <c r="E22" s="189"/>
      <c r="F22" s="189"/>
      <c r="G22" s="189"/>
      <c r="H22" s="189"/>
      <c r="I22" s="189"/>
      <c r="J22" s="189"/>
      <c r="K22" s="189"/>
      <c r="L22" s="189"/>
      <c r="M22" s="189"/>
      <c r="N22" s="189"/>
      <c r="O22" s="190"/>
      <c r="Q22" s="92" t="s">
        <v>101</v>
      </c>
      <c r="R22" s="93">
        <f ca="1">INDEX(Traffic!B1:P21,'Traffic app'!R18,'Traffic app'!R20)</f>
        <v>0</v>
      </c>
      <c r="U22" s="210"/>
      <c r="V22" s="210"/>
      <c r="W22" s="210"/>
    </row>
    <row r="23" spans="1:23" s="7" customFormat="1" ht="10" customHeight="1">
      <c r="A23" s="150"/>
      <c r="B23" s="189"/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90"/>
    </row>
    <row r="24" spans="1:23" s="7" customFormat="1" ht="32" customHeight="1">
      <c r="A24" s="191" t="str">
        <f ca="1">CONCATENATE("+", R10," points")</f>
        <v>+2 points</v>
      </c>
      <c r="B24" s="192"/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3"/>
    </row>
    <row r="25" spans="1:23" s="7" customFormat="1" ht="44" customHeight="1">
      <c r="A25" s="194" t="str">
        <f>CONCATENATE("Your score is now ", R12, ".")</f>
        <v>Your score is now 1.</v>
      </c>
      <c r="B25" s="195"/>
      <c r="C25" s="195"/>
      <c r="D25" s="195"/>
      <c r="E25" s="195"/>
      <c r="F25" s="195"/>
      <c r="G25" s="195"/>
      <c r="H25" s="195"/>
      <c r="I25" s="195"/>
      <c r="J25" s="195"/>
      <c r="K25" s="195"/>
      <c r="L25" s="195"/>
      <c r="M25" s="195"/>
      <c r="N25" s="195"/>
      <c r="O25" s="196"/>
    </row>
    <row r="26" spans="1:23" ht="21" customHeight="1" thickBot="1">
      <c r="A26" s="83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5"/>
    </row>
    <row r="27" spans="1:23" ht="6" customHeight="1" thickBot="1">
      <c r="A27" s="20"/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3"/>
      <c r="M27" s="23"/>
      <c r="N27" s="24"/>
      <c r="O27" s="25"/>
    </row>
    <row r="28" spans="1:23">
      <c r="A28" s="176" t="str">
        <f>CONCATENATE(R14,"/20")</f>
        <v>1/20</v>
      </c>
      <c r="B28" s="177"/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8"/>
    </row>
    <row r="29" spans="1:23">
      <c r="A29" s="2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</row>
    <row r="30" spans="1:23" ht="18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</row>
    <row r="31" spans="1:23">
      <c r="A31" s="27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7"/>
    </row>
    <row r="32" spans="1:23">
      <c r="A32" s="15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7"/>
    </row>
    <row r="33" spans="1:15">
      <c r="A33" s="15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7"/>
    </row>
    <row r="34" spans="1:15">
      <c r="A34" s="15"/>
      <c r="B34" s="16"/>
      <c r="C34" s="149"/>
      <c r="D34" s="149"/>
      <c r="E34" s="149"/>
      <c r="F34" s="149"/>
      <c r="G34" s="149"/>
      <c r="H34" s="149"/>
      <c r="I34" s="149"/>
      <c r="J34" s="149"/>
      <c r="K34" s="149"/>
      <c r="L34" s="149"/>
      <c r="M34" s="149"/>
      <c r="N34" s="16"/>
      <c r="O34" s="17"/>
    </row>
    <row r="35" spans="1:15">
      <c r="A35" s="15"/>
      <c r="B35" s="16"/>
      <c r="C35" s="149"/>
      <c r="D35" s="149"/>
      <c r="E35" s="149"/>
      <c r="F35" s="149"/>
      <c r="G35" s="149"/>
      <c r="H35" s="149"/>
      <c r="I35" s="149"/>
      <c r="J35" s="149"/>
      <c r="K35" s="149"/>
      <c r="L35" s="149"/>
      <c r="M35" s="149"/>
      <c r="N35" s="16"/>
      <c r="O35" s="17"/>
    </row>
    <row r="36" spans="1:15">
      <c r="A36" s="15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7"/>
    </row>
    <row r="37" spans="1:15">
      <c r="A37" s="15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7"/>
    </row>
    <row r="38" spans="1:15">
      <c r="A38" s="46">
        <f ca="1">'State Populations'!E5</f>
        <v>971180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7"/>
    </row>
    <row r="39" spans="1:15" ht="17" thickBot="1">
      <c r="A39" s="28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30"/>
    </row>
    <row r="40" spans="1:1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</row>
    <row r="41" spans="1:1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</row>
    <row r="42" spans="1:1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</row>
    <row r="43" spans="1:1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</row>
  </sheetData>
  <mergeCells count="17">
    <mergeCell ref="A5:O5"/>
    <mergeCell ref="A6:O6"/>
    <mergeCell ref="E11:K11"/>
    <mergeCell ref="E12:K12"/>
    <mergeCell ref="G14:I15"/>
    <mergeCell ref="A28:O28"/>
    <mergeCell ref="A30:O30"/>
    <mergeCell ref="C34:M35"/>
    <mergeCell ref="A8:O8"/>
    <mergeCell ref="E9:K9"/>
    <mergeCell ref="A19:O20"/>
    <mergeCell ref="A21:O21"/>
    <mergeCell ref="A22:O22"/>
    <mergeCell ref="A23:O23"/>
    <mergeCell ref="A24:O24"/>
    <mergeCell ref="A25:O25"/>
    <mergeCell ref="A18:O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ubmit">
                <anchor moveWithCells="1" sizeWithCells="1">
                  <from>
                    <xdr:col>4</xdr:col>
                    <xdr:colOff>203200</xdr:colOff>
                    <xdr:row>12</xdr:row>
                    <xdr:rowOff>190500</xdr:rowOff>
                  </from>
                  <to>
                    <xdr:col>10</xdr:col>
                    <xdr:colOff>50800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nextbutton">
                <anchor moveWithCells="1" sizeWithCells="1">
                  <from>
                    <xdr:col>5</xdr:col>
                    <xdr:colOff>25400</xdr:colOff>
                    <xdr:row>33</xdr:row>
                    <xdr:rowOff>12700</xdr:rowOff>
                  </from>
                  <to>
                    <xdr:col>10</xdr:col>
                    <xdr:colOff>152400</xdr:colOff>
                    <xdr:row>34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tartgame">
                <anchor moveWithCells="1" sizeWithCells="1">
                  <from>
                    <xdr:col>6</xdr:col>
                    <xdr:colOff>12700</xdr:colOff>
                    <xdr:row>36</xdr:row>
                    <xdr:rowOff>152400</xdr:rowOff>
                  </from>
                  <to>
                    <xdr:col>9</xdr:col>
                    <xdr:colOff>165100</xdr:colOff>
                    <xdr:row>38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State Populations</vt:lpstr>
      <vt:lpstr>states app</vt:lpstr>
      <vt:lpstr>Traffic</vt:lpstr>
      <vt:lpstr>Traffic app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Shields</dc:creator>
  <cp:lastModifiedBy>John Shields</cp:lastModifiedBy>
  <dcterms:created xsi:type="dcterms:W3CDTF">2018-08-24T14:15:09Z</dcterms:created>
  <dcterms:modified xsi:type="dcterms:W3CDTF">2018-09-06T00:33:32Z</dcterms:modified>
</cp:coreProperties>
</file>